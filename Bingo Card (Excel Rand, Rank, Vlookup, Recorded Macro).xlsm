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weis\Desktop\Excel\"/>
    </mc:Choice>
  </mc:AlternateContent>
  <xr:revisionPtr revIDLastSave="0" documentId="13_ncr:1_{665EF316-0BC2-4AB5-B7D8-114AB8F5BAEC}" xr6:coauthVersionLast="36" xr6:coauthVersionMax="36" xr10:uidLastSave="{00000000-0000-0000-0000-000000000000}"/>
  <bookViews>
    <workbookView xWindow="0" yWindow="0" windowWidth="19200" windowHeight="6930" activeTab="1" xr2:uid="{00000000-000D-0000-FFFF-FFFF00000000}"/>
  </bookViews>
  <sheets>
    <sheet name="Bingo Source" sheetId="1" r:id="rId1"/>
    <sheet name="Bingo (Orig.)" sheetId="2" r:id="rId2"/>
  </sheets>
  <definedNames>
    <definedName name="_xlnm.Print_Area" localSheetId="1">'Bingo (Orig.)'!$A$1:$Y$19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S25" i="1" l="1"/>
  <c r="AO25" i="1"/>
  <c r="AK25" i="1"/>
  <c r="AG25" i="1"/>
  <c r="AS24" i="1"/>
  <c r="AO24" i="1"/>
  <c r="AK24" i="1"/>
  <c r="AG24" i="1"/>
  <c r="AS23" i="1"/>
  <c r="AO23" i="1"/>
  <c r="AK23" i="1"/>
  <c r="AG23" i="1"/>
  <c r="AS22" i="1"/>
  <c r="AO22" i="1"/>
  <c r="AK22" i="1"/>
  <c r="AG22" i="1"/>
  <c r="AS21" i="1"/>
  <c r="AO21" i="1"/>
  <c r="AK21" i="1"/>
  <c r="AG21" i="1"/>
  <c r="AS20" i="1"/>
  <c r="AO20" i="1"/>
  <c r="AK20" i="1"/>
  <c r="AG20" i="1"/>
  <c r="AS19" i="1"/>
  <c r="AO19" i="1"/>
  <c r="AK19" i="1"/>
  <c r="AG19" i="1"/>
  <c r="AS18" i="1"/>
  <c r="AO18" i="1"/>
  <c r="AK18" i="1"/>
  <c r="AG18" i="1"/>
  <c r="AS17" i="1"/>
  <c r="AO17" i="1"/>
  <c r="AK17" i="1"/>
  <c r="AG17" i="1"/>
  <c r="AS16" i="1"/>
  <c r="AO16" i="1"/>
  <c r="AK16" i="1"/>
  <c r="AG16" i="1"/>
  <c r="AS15" i="1"/>
  <c r="AO15" i="1"/>
  <c r="AK15" i="1"/>
  <c r="AG15" i="1"/>
  <c r="AS14" i="1"/>
  <c r="AO14" i="1"/>
  <c r="AK14" i="1"/>
  <c r="AG14" i="1"/>
  <c r="AS13" i="1"/>
  <c r="AO13" i="1"/>
  <c r="AK13" i="1"/>
  <c r="AG13" i="1"/>
  <c r="AS12" i="1"/>
  <c r="AO12" i="1"/>
  <c r="AK12" i="1"/>
  <c r="AG12" i="1"/>
  <c r="AS11" i="1"/>
  <c r="AO11" i="1"/>
  <c r="AK11" i="1"/>
  <c r="AG11" i="1"/>
  <c r="AS10" i="1"/>
  <c r="AO10" i="1"/>
  <c r="AK10" i="1"/>
  <c r="AG10" i="1"/>
  <c r="AS9" i="1"/>
  <c r="AO9" i="1"/>
  <c r="AK9" i="1"/>
  <c r="AG9" i="1"/>
  <c r="AS8" i="1"/>
  <c r="AO8" i="1"/>
  <c r="AK8" i="1"/>
  <c r="AG8" i="1"/>
  <c r="AS7" i="1"/>
  <c r="AO7" i="1"/>
  <c r="AK7" i="1"/>
  <c r="AG7" i="1"/>
  <c r="AS6" i="1"/>
  <c r="AO6" i="1"/>
  <c r="AK6" i="1"/>
  <c r="AG6" i="1"/>
  <c r="AS5" i="1"/>
  <c r="AO5" i="1"/>
  <c r="AK5" i="1"/>
  <c r="AG5" i="1"/>
  <c r="AS4" i="1"/>
  <c r="AO4" i="1"/>
  <c r="AK4" i="1"/>
  <c r="AG4" i="1"/>
  <c r="AS3" i="1"/>
  <c r="AO3" i="1"/>
  <c r="AK3" i="1"/>
  <c r="AG3" i="1"/>
  <c r="AS2" i="1"/>
  <c r="AO2" i="1"/>
  <c r="AK2" i="1"/>
  <c r="AG2" i="1"/>
  <c r="AS1" i="1"/>
  <c r="AO1" i="1"/>
  <c r="AP1" i="1" s="1"/>
  <c r="AK1" i="1"/>
  <c r="AG1" i="1"/>
  <c r="AC25" i="1"/>
  <c r="Y25" i="1"/>
  <c r="U25" i="1"/>
  <c r="Q25" i="1"/>
  <c r="AC24" i="1"/>
  <c r="Y24" i="1"/>
  <c r="U24" i="1"/>
  <c r="Q24" i="1"/>
  <c r="AC23" i="1"/>
  <c r="Y23" i="1"/>
  <c r="U23" i="1"/>
  <c r="Q23" i="1"/>
  <c r="AC22" i="1"/>
  <c r="Y22" i="1"/>
  <c r="U22" i="1"/>
  <c r="Q22" i="1"/>
  <c r="AC21" i="1"/>
  <c r="Y21" i="1"/>
  <c r="U21" i="1"/>
  <c r="Q21" i="1"/>
  <c r="AC20" i="1"/>
  <c r="Y20" i="1"/>
  <c r="U20" i="1"/>
  <c r="Q20" i="1"/>
  <c r="AC19" i="1"/>
  <c r="Y19" i="1"/>
  <c r="U19" i="1"/>
  <c r="Q19" i="1"/>
  <c r="AC18" i="1"/>
  <c r="Y18" i="1"/>
  <c r="U18" i="1"/>
  <c r="Q18" i="1"/>
  <c r="AC17" i="1"/>
  <c r="Y17" i="1"/>
  <c r="U17" i="1"/>
  <c r="Q17" i="1"/>
  <c r="AC16" i="1"/>
  <c r="Y16" i="1"/>
  <c r="U16" i="1"/>
  <c r="Q16" i="1"/>
  <c r="AC15" i="1"/>
  <c r="Y15" i="1"/>
  <c r="U15" i="1"/>
  <c r="Q15" i="1"/>
  <c r="AC14" i="1"/>
  <c r="Y14" i="1"/>
  <c r="U14" i="1"/>
  <c r="Q14" i="1"/>
  <c r="AC13" i="1"/>
  <c r="Y13" i="1"/>
  <c r="U13" i="1"/>
  <c r="Q13" i="1"/>
  <c r="AC12" i="1"/>
  <c r="Y12" i="1"/>
  <c r="U12" i="1"/>
  <c r="Q12" i="1"/>
  <c r="AC11" i="1"/>
  <c r="Y11" i="1"/>
  <c r="U11" i="1"/>
  <c r="Q11" i="1"/>
  <c r="AC10" i="1"/>
  <c r="Y10" i="1"/>
  <c r="U10" i="1"/>
  <c r="Q10" i="1"/>
  <c r="AC9" i="1"/>
  <c r="Y9" i="1"/>
  <c r="U9" i="1"/>
  <c r="Q9" i="1"/>
  <c r="AC8" i="1"/>
  <c r="Y8" i="1"/>
  <c r="U8" i="1"/>
  <c r="Q8" i="1"/>
  <c r="AC7" i="1"/>
  <c r="Y7" i="1"/>
  <c r="U7" i="1"/>
  <c r="Q7" i="1"/>
  <c r="AC6" i="1"/>
  <c r="Y6" i="1"/>
  <c r="U6" i="1"/>
  <c r="Q6" i="1"/>
  <c r="AC5" i="1"/>
  <c r="Y5" i="1"/>
  <c r="U5" i="1"/>
  <c r="Q5" i="1"/>
  <c r="AC4" i="1"/>
  <c r="Y4" i="1"/>
  <c r="U4" i="1"/>
  <c r="Q4" i="1"/>
  <c r="AC3" i="1"/>
  <c r="Y3" i="1"/>
  <c r="U3" i="1"/>
  <c r="Q3" i="1"/>
  <c r="AC2" i="1"/>
  <c r="Y2" i="1"/>
  <c r="U2" i="1"/>
  <c r="Q2" i="1"/>
  <c r="AC1" i="1"/>
  <c r="Y1" i="1"/>
  <c r="U1" i="1"/>
  <c r="Q1" i="1"/>
  <c r="M25" i="1"/>
  <c r="I25" i="1"/>
  <c r="M24" i="1"/>
  <c r="I24" i="1"/>
  <c r="M23" i="1"/>
  <c r="I23" i="1"/>
  <c r="M22" i="1"/>
  <c r="I22" i="1"/>
  <c r="M21" i="1"/>
  <c r="I21" i="1"/>
  <c r="M20" i="1"/>
  <c r="I20" i="1"/>
  <c r="M19" i="1"/>
  <c r="I19" i="1"/>
  <c r="M18" i="1"/>
  <c r="I18" i="1"/>
  <c r="M17" i="1"/>
  <c r="I17" i="1"/>
  <c r="M16" i="1"/>
  <c r="I16" i="1"/>
  <c r="M15" i="1"/>
  <c r="I15" i="1"/>
  <c r="M14" i="1"/>
  <c r="I14" i="1"/>
  <c r="M13" i="1"/>
  <c r="I13" i="1"/>
  <c r="M12" i="1"/>
  <c r="I12" i="1"/>
  <c r="M11" i="1"/>
  <c r="I11" i="1"/>
  <c r="M10" i="1"/>
  <c r="I10" i="1"/>
  <c r="M9" i="1"/>
  <c r="I9" i="1"/>
  <c r="M8" i="1"/>
  <c r="I8" i="1"/>
  <c r="M7" i="1"/>
  <c r="I7" i="1"/>
  <c r="M6" i="1"/>
  <c r="I6" i="1"/>
  <c r="M5" i="1"/>
  <c r="I5" i="1"/>
  <c r="M4" i="1"/>
  <c r="I4" i="1"/>
  <c r="M3" i="1"/>
  <c r="I3" i="1"/>
  <c r="M2" i="1"/>
  <c r="I2" i="1"/>
  <c r="M1" i="1"/>
  <c r="I1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1" i="1"/>
  <c r="R1" i="1" l="1"/>
  <c r="Z1" i="1"/>
  <c r="AL3" i="1"/>
  <c r="AL4" i="1"/>
  <c r="AH2" i="1"/>
  <c r="AL1" i="1"/>
  <c r="AT1" i="1"/>
  <c r="AL2" i="1"/>
  <c r="AL6" i="1"/>
  <c r="AL7" i="1"/>
  <c r="AL9" i="1"/>
  <c r="AL11" i="1"/>
  <c r="AL13" i="1"/>
  <c r="AL15" i="1"/>
  <c r="AL17" i="1"/>
  <c r="AL19" i="1"/>
  <c r="AL21" i="1"/>
  <c r="AL23" i="1"/>
  <c r="AL24" i="1"/>
  <c r="AP3" i="1"/>
  <c r="AP5" i="1"/>
  <c r="AP7" i="1"/>
  <c r="AP9" i="1"/>
  <c r="AP10" i="1"/>
  <c r="AP12" i="1"/>
  <c r="AP14" i="1"/>
  <c r="AP16" i="1"/>
  <c r="AP17" i="1"/>
  <c r="AP19" i="1"/>
  <c r="AP20" i="1"/>
  <c r="AP21" i="1"/>
  <c r="AP22" i="1"/>
  <c r="AP23" i="1"/>
  <c r="AP24" i="1"/>
  <c r="AP25" i="1"/>
  <c r="AH1" i="1"/>
  <c r="AH3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L5" i="1"/>
  <c r="AL8" i="1"/>
  <c r="AL10" i="1"/>
  <c r="AL12" i="1"/>
  <c r="AL14" i="1"/>
  <c r="AL16" i="1"/>
  <c r="AL18" i="1"/>
  <c r="AL20" i="1"/>
  <c r="AL22" i="1"/>
  <c r="AL25" i="1"/>
  <c r="AT2" i="1"/>
  <c r="AP4" i="1"/>
  <c r="AP6" i="1"/>
  <c r="AP8" i="1"/>
  <c r="AP11" i="1"/>
  <c r="AP13" i="1"/>
  <c r="AP15" i="1"/>
  <c r="AP18" i="1"/>
  <c r="AP2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D1" i="1"/>
  <c r="V1" i="1"/>
  <c r="J2" i="1"/>
  <c r="R2" i="1"/>
  <c r="R6" i="1"/>
  <c r="R9" i="1"/>
  <c r="R13" i="1"/>
  <c r="R16" i="1"/>
  <c r="R19" i="1"/>
  <c r="R24" i="1"/>
  <c r="V2" i="1"/>
  <c r="V4" i="1"/>
  <c r="V6" i="1"/>
  <c r="V7" i="1"/>
  <c r="V9" i="1"/>
  <c r="V10" i="1"/>
  <c r="V12" i="1"/>
  <c r="V13" i="1"/>
  <c r="V14" i="1"/>
  <c r="V15" i="1"/>
  <c r="V16" i="1"/>
  <c r="V18" i="1"/>
  <c r="V19" i="1"/>
  <c r="V20" i="1"/>
  <c r="V21" i="1"/>
  <c r="V22" i="1"/>
  <c r="V23" i="1"/>
  <c r="V24" i="1"/>
  <c r="V25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R3" i="1"/>
  <c r="R4" i="1"/>
  <c r="R5" i="1"/>
  <c r="R7" i="1"/>
  <c r="R8" i="1"/>
  <c r="R10" i="1"/>
  <c r="R11" i="1"/>
  <c r="R12" i="1"/>
  <c r="R14" i="1"/>
  <c r="R15" i="1"/>
  <c r="R17" i="1"/>
  <c r="R18" i="1"/>
  <c r="R20" i="1"/>
  <c r="R21" i="1"/>
  <c r="R22" i="1"/>
  <c r="R23" i="1"/>
  <c r="R25" i="1"/>
  <c r="V3" i="1"/>
  <c r="V5" i="1"/>
  <c r="V8" i="1"/>
  <c r="V11" i="1"/>
  <c r="V17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N1" i="1"/>
  <c r="J20" i="1"/>
  <c r="J4" i="1"/>
  <c r="J10" i="1"/>
  <c r="J16" i="1"/>
  <c r="J18" i="1"/>
  <c r="J22" i="1"/>
  <c r="J24" i="1"/>
  <c r="N2" i="1"/>
  <c r="N4" i="1"/>
  <c r="N6" i="1"/>
  <c r="N8" i="1"/>
  <c r="N10" i="1"/>
  <c r="N12" i="1"/>
  <c r="N14" i="1"/>
  <c r="N16" i="1"/>
  <c r="N18" i="1"/>
  <c r="N20" i="1"/>
  <c r="N22" i="1"/>
  <c r="N24" i="1"/>
  <c r="J8" i="1"/>
  <c r="J14" i="1"/>
  <c r="B7" i="1"/>
  <c r="F2" i="1"/>
  <c r="F6" i="1"/>
  <c r="F10" i="1"/>
  <c r="J1" i="1"/>
  <c r="J3" i="1"/>
  <c r="J5" i="1"/>
  <c r="J7" i="1"/>
  <c r="J9" i="1"/>
  <c r="J11" i="1"/>
  <c r="J13" i="1"/>
  <c r="J15" i="1"/>
  <c r="J17" i="1"/>
  <c r="J19" i="1"/>
  <c r="J21" i="1"/>
  <c r="J23" i="1"/>
  <c r="J25" i="1"/>
  <c r="J6" i="1"/>
  <c r="J12" i="1"/>
  <c r="B3" i="1"/>
  <c r="N3" i="1"/>
  <c r="N5" i="1"/>
  <c r="N7" i="1"/>
  <c r="N9" i="1"/>
  <c r="N11" i="1"/>
  <c r="N13" i="1"/>
  <c r="N15" i="1"/>
  <c r="N17" i="1"/>
  <c r="N19" i="1"/>
  <c r="N21" i="1"/>
  <c r="N23" i="1"/>
  <c r="N25" i="1"/>
  <c r="B15" i="1"/>
  <c r="F14" i="1"/>
  <c r="F22" i="1"/>
  <c r="B4" i="1"/>
  <c r="B8" i="1"/>
  <c r="B12" i="1"/>
  <c r="B16" i="1"/>
  <c r="B20" i="1"/>
  <c r="B24" i="1"/>
  <c r="F25" i="1"/>
  <c r="F7" i="1"/>
  <c r="F11" i="1"/>
  <c r="F15" i="1"/>
  <c r="F19" i="1"/>
  <c r="F23" i="1"/>
  <c r="B11" i="1"/>
  <c r="B23" i="1"/>
  <c r="B1" i="1"/>
  <c r="B2" i="2" s="1"/>
  <c r="B5" i="1"/>
  <c r="B9" i="1"/>
  <c r="B13" i="1"/>
  <c r="B17" i="1"/>
  <c r="B21" i="1"/>
  <c r="B25" i="1"/>
  <c r="F4" i="1"/>
  <c r="F8" i="1"/>
  <c r="F12" i="1"/>
  <c r="F16" i="1"/>
  <c r="F20" i="1"/>
  <c r="F24" i="1"/>
  <c r="B19" i="1"/>
  <c r="F18" i="1"/>
  <c r="F1" i="1"/>
  <c r="F5" i="1"/>
  <c r="B2" i="1"/>
  <c r="B6" i="1"/>
  <c r="B14" i="1"/>
  <c r="B22" i="1"/>
  <c r="F3" i="1"/>
  <c r="F13" i="1"/>
  <c r="B10" i="1"/>
  <c r="B18" i="1"/>
  <c r="F9" i="1"/>
  <c r="F17" i="1"/>
  <c r="F21" i="1"/>
  <c r="O18" i="2" l="1"/>
  <c r="X18" i="2"/>
  <c r="T18" i="2"/>
  <c r="U17" i="2"/>
  <c r="V16" i="2"/>
  <c r="W15" i="2"/>
  <c r="X14" i="2"/>
  <c r="T14" i="2"/>
  <c r="V17" i="2"/>
  <c r="T15" i="2"/>
  <c r="W18" i="2"/>
  <c r="X17" i="2"/>
  <c r="T17" i="2"/>
  <c r="U16" i="2"/>
  <c r="V15" i="2"/>
  <c r="W14" i="2"/>
  <c r="W16" i="2"/>
  <c r="U14" i="2"/>
  <c r="V18" i="2"/>
  <c r="W17" i="2"/>
  <c r="X16" i="2"/>
  <c r="T16" i="2"/>
  <c r="U15" i="2"/>
  <c r="V14" i="2"/>
  <c r="U18" i="2"/>
  <c r="X15" i="2"/>
  <c r="N16" i="2"/>
  <c r="Q15" i="2"/>
  <c r="R17" i="2"/>
  <c r="Q14" i="2"/>
  <c r="P17" i="2"/>
  <c r="Q16" i="2"/>
  <c r="R15" i="2"/>
  <c r="O14" i="2"/>
  <c r="N15" i="2"/>
  <c r="N18" i="2"/>
  <c r="R14" i="2"/>
  <c r="N17" i="2"/>
  <c r="P18" i="2"/>
  <c r="O15" i="2"/>
  <c r="O17" i="2"/>
  <c r="N14" i="2"/>
  <c r="O16" i="2"/>
  <c r="Q17" i="2"/>
  <c r="P14" i="2"/>
  <c r="P16" i="2"/>
  <c r="Q18" i="2"/>
  <c r="P15" i="2"/>
  <c r="R16" i="2"/>
  <c r="R18" i="2"/>
  <c r="L18" i="2"/>
  <c r="H18" i="2"/>
  <c r="I17" i="2"/>
  <c r="J16" i="2"/>
  <c r="K15" i="2"/>
  <c r="L14" i="2"/>
  <c r="H14" i="2"/>
  <c r="K17" i="2"/>
  <c r="L16" i="2"/>
  <c r="I15" i="2"/>
  <c r="I18" i="2"/>
  <c r="J17" i="2"/>
  <c r="K16" i="2"/>
  <c r="L15" i="2"/>
  <c r="H15" i="2"/>
  <c r="I14" i="2"/>
  <c r="K18" i="2"/>
  <c r="L17" i="2"/>
  <c r="H17" i="2"/>
  <c r="I16" i="2"/>
  <c r="J15" i="2"/>
  <c r="K14" i="2"/>
  <c r="J18" i="2"/>
  <c r="H16" i="2"/>
  <c r="J14" i="2"/>
  <c r="F18" i="2"/>
  <c r="B18" i="2"/>
  <c r="C17" i="2"/>
  <c r="D16" i="2"/>
  <c r="E15" i="2"/>
  <c r="F14" i="2"/>
  <c r="B14" i="2"/>
  <c r="E16" i="2"/>
  <c r="E18" i="2"/>
  <c r="F17" i="2"/>
  <c r="B17" i="2"/>
  <c r="C16" i="2"/>
  <c r="D15" i="2"/>
  <c r="E14" i="2"/>
  <c r="D17" i="2"/>
  <c r="B15" i="2"/>
  <c r="D18" i="2"/>
  <c r="E17" i="2"/>
  <c r="F16" i="2"/>
  <c r="B16" i="2"/>
  <c r="C15" i="2"/>
  <c r="D14" i="2"/>
  <c r="C18" i="2"/>
  <c r="F15" i="2"/>
  <c r="C14" i="2"/>
  <c r="O9" i="2"/>
  <c r="X12" i="2"/>
  <c r="T12" i="2"/>
  <c r="U11" i="2"/>
  <c r="V10" i="2"/>
  <c r="W9" i="2"/>
  <c r="X8" i="2"/>
  <c r="T8" i="2"/>
  <c r="W11" i="2"/>
  <c r="T10" i="2"/>
  <c r="V8" i="2"/>
  <c r="V11" i="2"/>
  <c r="T9" i="2"/>
  <c r="W12" i="2"/>
  <c r="X11" i="2"/>
  <c r="T11" i="2"/>
  <c r="U10" i="2"/>
  <c r="V9" i="2"/>
  <c r="W8" i="2"/>
  <c r="V12" i="2"/>
  <c r="U9" i="2"/>
  <c r="U12" i="2"/>
  <c r="X9" i="2"/>
  <c r="X10" i="2"/>
  <c r="W10" i="2"/>
  <c r="U8" i="2"/>
  <c r="P11" i="2"/>
  <c r="N9" i="2"/>
  <c r="O12" i="2"/>
  <c r="R9" i="2"/>
  <c r="Q10" i="2"/>
  <c r="O8" i="2"/>
  <c r="Q9" i="2"/>
  <c r="N10" i="2"/>
  <c r="N12" i="2"/>
  <c r="R8" i="2"/>
  <c r="N11" i="2"/>
  <c r="P12" i="2"/>
  <c r="Q8" i="2"/>
  <c r="O11" i="2"/>
  <c r="N8" i="2"/>
  <c r="O10" i="2"/>
  <c r="Q11" i="2"/>
  <c r="P8" i="2"/>
  <c r="R11" i="2"/>
  <c r="P10" i="2"/>
  <c r="Q12" i="2"/>
  <c r="P9" i="2"/>
  <c r="R10" i="2"/>
  <c r="R12" i="2"/>
  <c r="L12" i="2"/>
  <c r="H12" i="2"/>
  <c r="I11" i="2"/>
  <c r="J10" i="2"/>
  <c r="K9" i="2"/>
  <c r="L8" i="2"/>
  <c r="H8" i="2"/>
  <c r="K12" i="2"/>
  <c r="L11" i="2"/>
  <c r="H11" i="2"/>
  <c r="I10" i="2"/>
  <c r="J9" i="2"/>
  <c r="K8" i="2"/>
  <c r="J11" i="2"/>
  <c r="L9" i="2"/>
  <c r="H9" i="2"/>
  <c r="J12" i="2"/>
  <c r="K11" i="2"/>
  <c r="L10" i="2"/>
  <c r="H10" i="2"/>
  <c r="I9" i="2"/>
  <c r="J8" i="2"/>
  <c r="I12" i="2"/>
  <c r="K10" i="2"/>
  <c r="I8" i="2"/>
  <c r="D8" i="2"/>
  <c r="F9" i="2"/>
  <c r="C11" i="2"/>
  <c r="B8" i="2"/>
  <c r="C9" i="2"/>
  <c r="D10" i="2"/>
  <c r="E12" i="2"/>
  <c r="D9" i="2"/>
  <c r="E11" i="2"/>
  <c r="E10" i="2"/>
  <c r="B9" i="2"/>
  <c r="C8" i="2"/>
  <c r="C10" i="2"/>
  <c r="E9" i="2"/>
  <c r="F11" i="2"/>
  <c r="E8" i="2"/>
  <c r="F10" i="2"/>
  <c r="C12" i="2"/>
  <c r="D12" i="2"/>
  <c r="B12" i="2"/>
  <c r="F8" i="2"/>
  <c r="B11" i="2"/>
  <c r="D11" i="2"/>
  <c r="B10" i="2"/>
  <c r="F12" i="2"/>
  <c r="X6" i="2"/>
  <c r="T6" i="2"/>
  <c r="U5" i="2"/>
  <c r="V4" i="2"/>
  <c r="W3" i="2"/>
  <c r="X2" i="2"/>
  <c r="T2" i="2"/>
  <c r="W5" i="2"/>
  <c r="X4" i="2"/>
  <c r="U3" i="2"/>
  <c r="U6" i="2"/>
  <c r="X3" i="2"/>
  <c r="T3" i="2"/>
  <c r="W6" i="2"/>
  <c r="X5" i="2"/>
  <c r="T5" i="2"/>
  <c r="U4" i="2"/>
  <c r="V3" i="2"/>
  <c r="W2" i="2"/>
  <c r="V6" i="2"/>
  <c r="T4" i="2"/>
  <c r="V2" i="2"/>
  <c r="V5" i="2"/>
  <c r="W4" i="2"/>
  <c r="U2" i="2"/>
  <c r="J4" i="2"/>
  <c r="R6" i="2"/>
  <c r="N6" i="2"/>
  <c r="O5" i="2"/>
  <c r="P4" i="2"/>
  <c r="Q3" i="2"/>
  <c r="R2" i="2"/>
  <c r="N2" i="2"/>
  <c r="Q4" i="2"/>
  <c r="R3" i="2"/>
  <c r="O2" i="2"/>
  <c r="Q6" i="2"/>
  <c r="R5" i="2"/>
  <c r="N5" i="2"/>
  <c r="O4" i="2"/>
  <c r="P3" i="2"/>
  <c r="Q2" i="2"/>
  <c r="P5" i="2"/>
  <c r="P6" i="2"/>
  <c r="Q5" i="2"/>
  <c r="R4" i="2"/>
  <c r="N4" i="2"/>
  <c r="O3" i="2"/>
  <c r="P2" i="2"/>
  <c r="O6" i="2"/>
  <c r="N3" i="2"/>
  <c r="J6" i="2"/>
  <c r="F6" i="2"/>
  <c r="J3" i="2"/>
  <c r="C3" i="2"/>
  <c r="H2" i="2"/>
  <c r="K3" i="2"/>
  <c r="I4" i="2"/>
  <c r="L6" i="2"/>
  <c r="K4" i="2"/>
  <c r="D2" i="2"/>
  <c r="B4" i="2"/>
  <c r="F5" i="2"/>
  <c r="J5" i="2"/>
  <c r="I2" i="2"/>
  <c r="C2" i="2"/>
  <c r="F3" i="2"/>
  <c r="D6" i="2"/>
  <c r="J2" i="2"/>
  <c r="L3" i="2"/>
  <c r="L5" i="2"/>
  <c r="F2" i="2"/>
  <c r="F4" i="2"/>
  <c r="H3" i="2"/>
  <c r="I3" i="2"/>
  <c r="K2" i="2"/>
  <c r="B3" i="2"/>
  <c r="E4" i="2"/>
  <c r="E5" i="2"/>
  <c r="H4" i="2"/>
  <c r="K6" i="2"/>
  <c r="E2" i="2"/>
  <c r="E3" i="2"/>
  <c r="D4" i="2"/>
  <c r="B5" i="2"/>
  <c r="D5" i="2"/>
  <c r="C6" i="2"/>
  <c r="L4" i="2"/>
  <c r="I5" i="2"/>
  <c r="D3" i="2"/>
  <c r="C4" i="2"/>
  <c r="C5" i="2"/>
  <c r="B6" i="2"/>
  <c r="E6" i="2"/>
  <c r="K5" i="2"/>
  <c r="I6" i="2"/>
  <c r="H5" i="2"/>
  <c r="L2" i="2"/>
  <c r="H6" i="2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438150</xdr:colOff>
      <xdr:row>1</xdr:row>
      <xdr:rowOff>146050</xdr:rowOff>
    </xdr:from>
    <xdr:to>
      <xdr:col>28</xdr:col>
      <xdr:colOff>107950</xdr:colOff>
      <xdr:row>4</xdr:row>
      <xdr:rowOff>311150</xdr:rowOff>
    </xdr:to>
    <xdr:sp macro="[0]!Random_New" textlink="">
      <xdr:nvSpPr>
        <xdr:cNvPr id="2" name="Oval 1">
          <a:extLst>
            <a:ext uri="{FF2B5EF4-FFF2-40B4-BE49-F238E27FC236}">
              <a16:creationId xmlns:a16="http://schemas.microsoft.com/office/drawing/2014/main" id="{4B3498D5-63E7-4581-954C-1E0D51A903BB}"/>
            </a:ext>
          </a:extLst>
        </xdr:cNvPr>
        <xdr:cNvSpPr/>
      </xdr:nvSpPr>
      <xdr:spPr>
        <a:xfrm>
          <a:off x="7423150" y="273050"/>
          <a:ext cx="1651000" cy="1117600"/>
        </a:xfrm>
        <a:prstGeom prst="ellipse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ysClr val="windowText" lastClr="000000"/>
              </a:solidFill>
            </a:rPr>
            <a:t>PRESS THIS BUTTON FOR NEW SET OF NO.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U25"/>
  <sheetViews>
    <sheetView workbookViewId="0">
      <selection activeCell="E14" sqref="E14"/>
    </sheetView>
  </sheetViews>
  <sheetFormatPr defaultRowHeight="15.5" x14ac:dyDescent="0.35"/>
  <sheetData>
    <row r="1" spans="1:47" x14ac:dyDescent="0.35">
      <c r="A1">
        <f ca="1">RAND()</f>
        <v>3.992759482684527E-2</v>
      </c>
      <c r="B1">
        <f ca="1">RANK(A1,A1:A25)</f>
        <v>24</v>
      </c>
      <c r="C1">
        <v>1</v>
      </c>
      <c r="D1" s="1"/>
      <c r="E1">
        <f ca="1">RAND()</f>
        <v>3.6128837654864521E-2</v>
      </c>
      <c r="F1">
        <f ca="1">RANK(E1,E1:E25)</f>
        <v>23</v>
      </c>
      <c r="G1">
        <v>1</v>
      </c>
      <c r="H1" s="1"/>
      <c r="I1">
        <f ca="1">RAND()</f>
        <v>0.61744321062533525</v>
      </c>
      <c r="J1">
        <f ca="1">RANK(I1,I1:I25)</f>
        <v>16</v>
      </c>
      <c r="K1">
        <v>1</v>
      </c>
      <c r="L1" s="1"/>
      <c r="M1">
        <f ca="1">RAND()</f>
        <v>0.94870609872519285</v>
      </c>
      <c r="N1">
        <f ca="1">RANK(M1,M1:M25)</f>
        <v>3</v>
      </c>
      <c r="O1">
        <v>1</v>
      </c>
      <c r="P1" s="1"/>
      <c r="Q1">
        <f ca="1">RAND()</f>
        <v>0.93411195397196511</v>
      </c>
      <c r="R1">
        <f ca="1">RANK(Q1,Q1:Q25)</f>
        <v>2</v>
      </c>
      <c r="S1">
        <v>1</v>
      </c>
      <c r="T1" s="1"/>
      <c r="U1">
        <f ca="1">RAND()</f>
        <v>0.85395187830348607</v>
      </c>
      <c r="V1">
        <f ca="1">RANK(U1,U1:U25)</f>
        <v>5</v>
      </c>
      <c r="W1">
        <v>1</v>
      </c>
      <c r="X1" s="1"/>
      <c r="Y1">
        <f ca="1">RAND()</f>
        <v>0.28844094299957002</v>
      </c>
      <c r="Z1">
        <f ca="1">RANK(Y1,Y1:Y25)</f>
        <v>18</v>
      </c>
      <c r="AA1">
        <v>1</v>
      </c>
      <c r="AB1" s="1"/>
      <c r="AC1">
        <f ca="1">RAND()</f>
        <v>0.83902659852316486</v>
      </c>
      <c r="AD1">
        <f ca="1">RANK(AC1,AC1:AC25)</f>
        <v>3</v>
      </c>
      <c r="AE1">
        <v>1</v>
      </c>
      <c r="AF1" s="1"/>
      <c r="AG1">
        <f ca="1">RAND()</f>
        <v>0.28792670293317957</v>
      </c>
      <c r="AH1">
        <f ca="1">RANK(AG1,AG1:AG25)</f>
        <v>22</v>
      </c>
      <c r="AI1">
        <v>1</v>
      </c>
      <c r="AJ1" s="1"/>
      <c r="AK1">
        <f ca="1">RAND()</f>
        <v>7.5567351579485131E-2</v>
      </c>
      <c r="AL1">
        <f ca="1">RANK(AK1,AK1:AK25)</f>
        <v>22</v>
      </c>
      <c r="AM1">
        <v>1</v>
      </c>
      <c r="AN1" s="1"/>
      <c r="AO1">
        <f ca="1">RAND()</f>
        <v>0.38145001241017917</v>
      </c>
      <c r="AP1">
        <f ca="1">RANK(AO1,AO1:AO25)</f>
        <v>15</v>
      </c>
      <c r="AQ1">
        <v>1</v>
      </c>
      <c r="AR1" s="1"/>
      <c r="AS1">
        <f ca="1">RAND()</f>
        <v>0.88354986046187578</v>
      </c>
      <c r="AT1">
        <f ca="1">RANK(AS1,AS1:AS25)</f>
        <v>3</v>
      </c>
      <c r="AU1">
        <v>1</v>
      </c>
    </row>
    <row r="2" spans="1:47" x14ac:dyDescent="0.35">
      <c r="A2">
        <f t="shared" ref="A2:A25" ca="1" si="0">RAND()</f>
        <v>0.73055774604273627</v>
      </c>
      <c r="B2">
        <f ca="1">RANK(A2,A1:A25)</f>
        <v>7</v>
      </c>
      <c r="C2">
        <v>2</v>
      </c>
      <c r="E2">
        <f t="shared" ref="E2:E25" ca="1" si="1">RAND()</f>
        <v>3.5872269274353497E-2</v>
      </c>
      <c r="F2">
        <f ca="1">RANK(E2,E1:E25)</f>
        <v>24</v>
      </c>
      <c r="G2">
        <v>2</v>
      </c>
      <c r="I2">
        <f t="shared" ref="I2:I25" ca="1" si="2">RAND()</f>
        <v>0.22722395049541178</v>
      </c>
      <c r="J2">
        <f ca="1">RANK(I2,I1:I25)</f>
        <v>22</v>
      </c>
      <c r="K2">
        <v>2</v>
      </c>
      <c r="M2">
        <f t="shared" ref="M2:M25" ca="1" si="3">RAND()</f>
        <v>0.84429986319852923</v>
      </c>
      <c r="N2">
        <f ca="1">RANK(M2,M1:M25)</f>
        <v>7</v>
      </c>
      <c r="O2">
        <v>2</v>
      </c>
      <c r="Q2">
        <f t="shared" ref="Q2:Q25" ca="1" si="4">RAND()</f>
        <v>0.49822157752119056</v>
      </c>
      <c r="R2">
        <f ca="1">RANK(Q2,Q1:Q25)</f>
        <v>14</v>
      </c>
      <c r="S2">
        <v>2</v>
      </c>
      <c r="U2">
        <f t="shared" ref="U2:U25" ca="1" si="5">RAND()</f>
        <v>0.33209581364545315</v>
      </c>
      <c r="V2">
        <f ca="1">RANK(U2,U1:U25)</f>
        <v>16</v>
      </c>
      <c r="W2">
        <v>2</v>
      </c>
      <c r="Y2">
        <f t="shared" ref="Y2:Y25" ca="1" si="6">RAND()</f>
        <v>0.48292934753134753</v>
      </c>
      <c r="Z2">
        <f ca="1">RANK(Y2,Y1:Y25)</f>
        <v>11</v>
      </c>
      <c r="AA2">
        <v>2</v>
      </c>
      <c r="AC2">
        <f t="shared" ref="AC2:AC25" ca="1" si="7">RAND()</f>
        <v>0.77242909042531582</v>
      </c>
      <c r="AD2">
        <f ca="1">RANK(AC2,AC1:AC25)</f>
        <v>6</v>
      </c>
      <c r="AE2">
        <v>2</v>
      </c>
      <c r="AG2">
        <f t="shared" ref="AG2:AG25" ca="1" si="8">RAND()</f>
        <v>0.47327367082638516</v>
      </c>
      <c r="AH2">
        <f ca="1">RANK(AG2,AG1:AG25)</f>
        <v>15</v>
      </c>
      <c r="AI2">
        <v>2</v>
      </c>
      <c r="AK2">
        <f t="shared" ref="AK2:AK25" ca="1" si="9">RAND()</f>
        <v>0.94022986055830571</v>
      </c>
      <c r="AL2">
        <f ca="1">RANK(AK2,AK1:AK25)</f>
        <v>3</v>
      </c>
      <c r="AM2">
        <v>2</v>
      </c>
      <c r="AO2">
        <f t="shared" ref="AO2:AO25" ca="1" si="10">RAND()</f>
        <v>0.15123304905282275</v>
      </c>
      <c r="AP2">
        <f ca="1">RANK(AO2,AO1:AO25)</f>
        <v>20</v>
      </c>
      <c r="AQ2">
        <v>2</v>
      </c>
      <c r="AS2">
        <f t="shared" ref="AS2:AS25" ca="1" si="11">RAND()</f>
        <v>0.66628330934479607</v>
      </c>
      <c r="AT2">
        <f ca="1">RANK(AS2,AS1:AS25)</f>
        <v>16</v>
      </c>
      <c r="AU2">
        <v>2</v>
      </c>
    </row>
    <row r="3" spans="1:47" x14ac:dyDescent="0.35">
      <c r="A3">
        <f t="shared" ca="1" si="0"/>
        <v>0.1212002154134747</v>
      </c>
      <c r="B3">
        <f ca="1">RANK(A3,A1:A25)</f>
        <v>21</v>
      </c>
      <c r="C3">
        <v>3</v>
      </c>
      <c r="E3">
        <f t="shared" ca="1" si="1"/>
        <v>0.68893415116500656</v>
      </c>
      <c r="F3">
        <f ca="1">RANK(E3,E1:E25)</f>
        <v>10</v>
      </c>
      <c r="G3">
        <v>3</v>
      </c>
      <c r="I3">
        <f t="shared" ca="1" si="2"/>
        <v>0.68572975036814532</v>
      </c>
      <c r="J3">
        <f ca="1">RANK(I3,I1:I25)</f>
        <v>11</v>
      </c>
      <c r="K3">
        <v>3</v>
      </c>
      <c r="M3">
        <f t="shared" ca="1" si="3"/>
        <v>0.67701938749869828</v>
      </c>
      <c r="N3">
        <f ca="1">RANK(M3,M1:M25)</f>
        <v>13</v>
      </c>
      <c r="O3">
        <v>3</v>
      </c>
      <c r="Q3">
        <f t="shared" ca="1" si="4"/>
        <v>0.96345887916139084</v>
      </c>
      <c r="R3">
        <f ca="1">RANK(Q3,Q1:Q25)</f>
        <v>1</v>
      </c>
      <c r="S3">
        <v>3</v>
      </c>
      <c r="U3">
        <f t="shared" ca="1" si="5"/>
        <v>0.78771637878438583</v>
      </c>
      <c r="V3">
        <f ca="1">RANK(U3,U1:U25)</f>
        <v>8</v>
      </c>
      <c r="W3">
        <v>3</v>
      </c>
      <c r="Y3">
        <f t="shared" ca="1" si="6"/>
        <v>0.16575277795728438</v>
      </c>
      <c r="Z3">
        <f ca="1">RANK(Y3,Y1:Y25)</f>
        <v>22</v>
      </c>
      <c r="AA3">
        <v>3</v>
      </c>
      <c r="AC3">
        <f t="shared" ca="1" si="7"/>
        <v>0.51591211714152641</v>
      </c>
      <c r="AD3">
        <f ca="1">RANK(AC3,AC1:AC25)</f>
        <v>8</v>
      </c>
      <c r="AE3">
        <v>3</v>
      </c>
      <c r="AG3">
        <f t="shared" ca="1" si="8"/>
        <v>0.78934501508715071</v>
      </c>
      <c r="AH3">
        <f ca="1">RANK(AG3,AG1:AG25)</f>
        <v>5</v>
      </c>
      <c r="AI3">
        <v>3</v>
      </c>
      <c r="AK3">
        <f t="shared" ca="1" si="9"/>
        <v>5.2918652919794362E-2</v>
      </c>
      <c r="AL3">
        <f ca="1">RANK(AK3,AK1:AK25)</f>
        <v>24</v>
      </c>
      <c r="AM3">
        <v>3</v>
      </c>
      <c r="AO3">
        <f t="shared" ca="1" si="10"/>
        <v>0.20592496901130131</v>
      </c>
      <c r="AP3">
        <f ca="1">RANK(AO3,AO1:AO25)</f>
        <v>17</v>
      </c>
      <c r="AQ3">
        <v>3</v>
      </c>
      <c r="AS3">
        <f t="shared" ca="1" si="11"/>
        <v>0.54933185616752622</v>
      </c>
      <c r="AT3">
        <f ca="1">RANK(AS3,AS1:AS25)</f>
        <v>18</v>
      </c>
      <c r="AU3">
        <v>3</v>
      </c>
    </row>
    <row r="4" spans="1:47" x14ac:dyDescent="0.35">
      <c r="A4">
        <f t="shared" ca="1" si="0"/>
        <v>0.14418984702097293</v>
      </c>
      <c r="B4">
        <f ca="1">RANK(A4,A1:A25)</f>
        <v>20</v>
      </c>
      <c r="C4">
        <v>4</v>
      </c>
      <c r="E4">
        <f t="shared" ca="1" si="1"/>
        <v>0.75303200953097926</v>
      </c>
      <c r="F4">
        <f ca="1">RANK(E4,E1:E25)</f>
        <v>9</v>
      </c>
      <c r="G4">
        <v>4</v>
      </c>
      <c r="I4">
        <f t="shared" ca="1" si="2"/>
        <v>0.20181405208044378</v>
      </c>
      <c r="J4">
        <f ca="1">RANK(I4,I1:I25)</f>
        <v>24</v>
      </c>
      <c r="K4">
        <v>4</v>
      </c>
      <c r="M4">
        <f t="shared" ca="1" si="3"/>
        <v>0.92025664168992993</v>
      </c>
      <c r="N4">
        <f ca="1">RANK(M4,M1:M25)</f>
        <v>4</v>
      </c>
      <c r="O4">
        <v>4</v>
      </c>
      <c r="Q4">
        <f t="shared" ca="1" si="4"/>
        <v>0.62153337988433577</v>
      </c>
      <c r="R4">
        <f ca="1">RANK(Q4,Q1:Q25)</f>
        <v>10</v>
      </c>
      <c r="S4">
        <v>4</v>
      </c>
      <c r="U4">
        <f t="shared" ca="1" si="5"/>
        <v>0.28458233480403283</v>
      </c>
      <c r="V4">
        <f ca="1">RANK(U4,U1:U25)</f>
        <v>18</v>
      </c>
      <c r="W4">
        <v>4</v>
      </c>
      <c r="Y4">
        <f t="shared" ca="1" si="6"/>
        <v>0.89501226016176139</v>
      </c>
      <c r="Z4">
        <f ca="1">RANK(Y4,Y1:Y25)</f>
        <v>1</v>
      </c>
      <c r="AA4">
        <v>4</v>
      </c>
      <c r="AC4">
        <f t="shared" ca="1" si="7"/>
        <v>0.24539175097231558</v>
      </c>
      <c r="AD4">
        <f ca="1">RANK(AC4,AC1:AC25)</f>
        <v>20</v>
      </c>
      <c r="AE4">
        <v>4</v>
      </c>
      <c r="AG4">
        <f t="shared" ca="1" si="8"/>
        <v>0.93468126936985085</v>
      </c>
      <c r="AH4">
        <f ca="1">RANK(AG4,AG1:AG25)</f>
        <v>2</v>
      </c>
      <c r="AI4">
        <v>4</v>
      </c>
      <c r="AK4">
        <f t="shared" ca="1" si="9"/>
        <v>0.7857640953355427</v>
      </c>
      <c r="AL4">
        <f ca="1">RANK(AK4,AK1:AK25)</f>
        <v>8</v>
      </c>
      <c r="AM4">
        <v>4</v>
      </c>
      <c r="AO4">
        <f t="shared" ca="1" si="10"/>
        <v>0.11407835866308047</v>
      </c>
      <c r="AP4">
        <f ca="1">RANK(AO4,AO1:AO25)</f>
        <v>22</v>
      </c>
      <c r="AQ4">
        <v>4</v>
      </c>
      <c r="AS4">
        <f t="shared" ca="1" si="11"/>
        <v>0.72041197505127641</v>
      </c>
      <c r="AT4">
        <f ca="1">RANK(AS4,AS1:AS25)</f>
        <v>11</v>
      </c>
      <c r="AU4">
        <v>4</v>
      </c>
    </row>
    <row r="5" spans="1:47" x14ac:dyDescent="0.35">
      <c r="A5">
        <f t="shared" ca="1" si="0"/>
        <v>0.78121416554021528</v>
      </c>
      <c r="B5">
        <f ca="1">RANK(A5,A1:A25)</f>
        <v>5</v>
      </c>
      <c r="C5">
        <v>5</v>
      </c>
      <c r="E5">
        <f t="shared" ca="1" si="1"/>
        <v>0.77969214317335156</v>
      </c>
      <c r="F5">
        <f ca="1">RANK(E5,E1:E25)</f>
        <v>7</v>
      </c>
      <c r="G5">
        <v>5</v>
      </c>
      <c r="I5">
        <f t="shared" ca="1" si="2"/>
        <v>0.20757403198133073</v>
      </c>
      <c r="J5">
        <f ca="1">RANK(I5,I1:I25)</f>
        <v>23</v>
      </c>
      <c r="K5">
        <v>5</v>
      </c>
      <c r="M5">
        <f t="shared" ca="1" si="3"/>
        <v>0.78512198518839404</v>
      </c>
      <c r="N5">
        <f ca="1">RANK(M5,M1:M25)</f>
        <v>9</v>
      </c>
      <c r="O5">
        <v>5</v>
      </c>
      <c r="Q5">
        <f t="shared" ca="1" si="4"/>
        <v>0.39878098128696615</v>
      </c>
      <c r="R5">
        <f ca="1">RANK(Q5,Q1:Q25)</f>
        <v>17</v>
      </c>
      <c r="S5">
        <v>5</v>
      </c>
      <c r="U5">
        <f t="shared" ca="1" si="5"/>
        <v>0.34599871911212599</v>
      </c>
      <c r="V5">
        <f ca="1">RANK(U5,U1:U25)</f>
        <v>15</v>
      </c>
      <c r="W5">
        <v>5</v>
      </c>
      <c r="Y5">
        <f t="shared" ca="1" si="6"/>
        <v>0.8547750131594426</v>
      </c>
      <c r="Z5">
        <f ca="1">RANK(Y5,Y1:Y25)</f>
        <v>2</v>
      </c>
      <c r="AA5">
        <v>5</v>
      </c>
      <c r="AC5">
        <f t="shared" ca="1" si="7"/>
        <v>0.30918470341513749</v>
      </c>
      <c r="AD5">
        <f ca="1">RANK(AC5,AC1:AC25)</f>
        <v>19</v>
      </c>
      <c r="AE5">
        <v>5</v>
      </c>
      <c r="AG5">
        <f t="shared" ca="1" si="8"/>
        <v>0.39973587954110801</v>
      </c>
      <c r="AH5">
        <f ca="1">RANK(AG5,AG1:AG25)</f>
        <v>18</v>
      </c>
      <c r="AI5">
        <v>5</v>
      </c>
      <c r="AK5">
        <f t="shared" ca="1" si="9"/>
        <v>5.9765313203226533E-2</v>
      </c>
      <c r="AL5">
        <f ca="1">RANK(AK5,AK1:AK25)</f>
        <v>23</v>
      </c>
      <c r="AM5">
        <v>5</v>
      </c>
      <c r="AO5">
        <f t="shared" ca="1" si="10"/>
        <v>3.1972483950620467E-2</v>
      </c>
      <c r="AP5">
        <f ca="1">RANK(AO5,AO1:AO25)</f>
        <v>24</v>
      </c>
      <c r="AQ5">
        <v>5</v>
      </c>
      <c r="AS5">
        <f t="shared" ca="1" si="11"/>
        <v>0.23144668252769007</v>
      </c>
      <c r="AT5">
        <f ca="1">RANK(AS5,AS1:AS25)</f>
        <v>24</v>
      </c>
      <c r="AU5">
        <v>5</v>
      </c>
    </row>
    <row r="6" spans="1:47" x14ac:dyDescent="0.35">
      <c r="A6">
        <f t="shared" ca="1" si="0"/>
        <v>9.9655041011020185E-2</v>
      </c>
      <c r="B6">
        <f ca="1">RANK(A6,A1:A25)</f>
        <v>22</v>
      </c>
      <c r="C6">
        <v>6</v>
      </c>
      <c r="E6">
        <f t="shared" ca="1" si="1"/>
        <v>0.90316797017895734</v>
      </c>
      <c r="F6">
        <f ca="1">RANK(E6,E1:E25)</f>
        <v>3</v>
      </c>
      <c r="G6">
        <v>6</v>
      </c>
      <c r="I6">
        <f t="shared" ca="1" si="2"/>
        <v>0.6851768284292078</v>
      </c>
      <c r="J6">
        <f ca="1">RANK(I6,I1:I25)</f>
        <v>12</v>
      </c>
      <c r="K6">
        <v>6</v>
      </c>
      <c r="M6">
        <f t="shared" ca="1" si="3"/>
        <v>0.83462539167391481</v>
      </c>
      <c r="N6">
        <f ca="1">RANK(M6,M1:M25)</f>
        <v>8</v>
      </c>
      <c r="O6">
        <v>6</v>
      </c>
      <c r="Q6">
        <f t="shared" ca="1" si="4"/>
        <v>0.52582026631656242</v>
      </c>
      <c r="R6">
        <f ca="1">RANK(Q6,Q1:Q25)</f>
        <v>12</v>
      </c>
      <c r="S6">
        <v>6</v>
      </c>
      <c r="U6">
        <f t="shared" ca="1" si="5"/>
        <v>0.17365484359699379</v>
      </c>
      <c r="V6">
        <f ca="1">RANK(U6,U1:U25)</f>
        <v>24</v>
      </c>
      <c r="W6">
        <v>6</v>
      </c>
      <c r="Y6">
        <f t="shared" ca="1" si="6"/>
        <v>0.45710215952076239</v>
      </c>
      <c r="Z6">
        <f ca="1">RANK(Y6,Y1:Y25)</f>
        <v>15</v>
      </c>
      <c r="AA6">
        <v>6</v>
      </c>
      <c r="AC6">
        <f t="shared" ca="1" si="7"/>
        <v>0.36812238846772471</v>
      </c>
      <c r="AD6">
        <f ca="1">RANK(AC6,AC1:AC25)</f>
        <v>16</v>
      </c>
      <c r="AE6">
        <v>6</v>
      </c>
      <c r="AG6">
        <f t="shared" ca="1" si="8"/>
        <v>0.51634038526370851</v>
      </c>
      <c r="AH6">
        <f ca="1">RANK(AG6,AG1:AG25)</f>
        <v>13</v>
      </c>
      <c r="AI6">
        <v>6</v>
      </c>
      <c r="AK6">
        <f t="shared" ca="1" si="9"/>
        <v>0.55838277480279408</v>
      </c>
      <c r="AL6">
        <f ca="1">RANK(AK6,AK1:AK25)</f>
        <v>13</v>
      </c>
      <c r="AM6">
        <v>6</v>
      </c>
      <c r="AO6">
        <f t="shared" ca="1" si="10"/>
        <v>0.75526529060280323</v>
      </c>
      <c r="AP6">
        <f ca="1">RANK(AO6,AO1:AO25)</f>
        <v>6</v>
      </c>
      <c r="AQ6">
        <v>6</v>
      </c>
      <c r="AS6">
        <f t="shared" ca="1" si="11"/>
        <v>0.33250221864039287</v>
      </c>
      <c r="AT6">
        <f ca="1">RANK(AS6,AS1:AS25)</f>
        <v>21</v>
      </c>
      <c r="AU6">
        <v>6</v>
      </c>
    </row>
    <row r="7" spans="1:47" x14ac:dyDescent="0.35">
      <c r="A7">
        <f t="shared" ca="1" si="0"/>
        <v>0.74672080140299379</v>
      </c>
      <c r="B7">
        <f ca="1">RANK(A7,A1:A25)</f>
        <v>6</v>
      </c>
      <c r="C7">
        <v>7</v>
      </c>
      <c r="E7">
        <f t="shared" ca="1" si="1"/>
        <v>0.86368543001208276</v>
      </c>
      <c r="F7">
        <f ca="1">RANK(E7,E1:E25)</f>
        <v>5</v>
      </c>
      <c r="G7">
        <v>7</v>
      </c>
      <c r="I7">
        <f t="shared" ca="1" si="2"/>
        <v>0.83580320369134009</v>
      </c>
      <c r="J7">
        <f ca="1">RANK(I7,I1:I25)</f>
        <v>6</v>
      </c>
      <c r="K7">
        <v>7</v>
      </c>
      <c r="M7">
        <f t="shared" ca="1" si="3"/>
        <v>0.57444797069973041</v>
      </c>
      <c r="N7">
        <f ca="1">RANK(M7,M1:M25)</f>
        <v>18</v>
      </c>
      <c r="O7">
        <v>7</v>
      </c>
      <c r="Q7">
        <f t="shared" ca="1" si="4"/>
        <v>0.20282337912303894</v>
      </c>
      <c r="R7">
        <f ca="1">RANK(Q7,Q1:Q25)</f>
        <v>23</v>
      </c>
      <c r="S7">
        <v>7</v>
      </c>
      <c r="U7">
        <f t="shared" ca="1" si="5"/>
        <v>0.89477328113348931</v>
      </c>
      <c r="V7">
        <f ca="1">RANK(U7,U1:U25)</f>
        <v>3</v>
      </c>
      <c r="W7">
        <v>7</v>
      </c>
      <c r="Y7">
        <f t="shared" ca="1" si="6"/>
        <v>8.4517567676178573E-2</v>
      </c>
      <c r="Z7">
        <f ca="1">RANK(Y7,Y1:Y25)</f>
        <v>25</v>
      </c>
      <c r="AA7">
        <v>7</v>
      </c>
      <c r="AC7">
        <f t="shared" ca="1" si="7"/>
        <v>0.62723817769709378</v>
      </c>
      <c r="AD7">
        <f ca="1">RANK(AC7,AC1:AC25)</f>
        <v>7</v>
      </c>
      <c r="AE7">
        <v>7</v>
      </c>
      <c r="AG7">
        <f t="shared" ca="1" si="8"/>
        <v>0.58983704443620977</v>
      </c>
      <c r="AH7">
        <f ca="1">RANK(AG7,AG1:AG25)</f>
        <v>10</v>
      </c>
      <c r="AI7">
        <v>7</v>
      </c>
      <c r="AK7">
        <f t="shared" ca="1" si="9"/>
        <v>0.46078295015575677</v>
      </c>
      <c r="AL7">
        <f ca="1">RANK(AK7,AK1:AK25)</f>
        <v>16</v>
      </c>
      <c r="AM7">
        <v>7</v>
      </c>
      <c r="AO7">
        <f t="shared" ca="1" si="10"/>
        <v>0.14948583065462717</v>
      </c>
      <c r="AP7">
        <f ca="1">RANK(AO7,AO1:AO25)</f>
        <v>21</v>
      </c>
      <c r="AQ7">
        <v>7</v>
      </c>
      <c r="AS7">
        <f t="shared" ca="1" si="11"/>
        <v>0.71582532415918976</v>
      </c>
      <c r="AT7">
        <f ca="1">RANK(AS7,AS1:AS25)</f>
        <v>12</v>
      </c>
      <c r="AU7">
        <v>7</v>
      </c>
    </row>
    <row r="8" spans="1:47" x14ac:dyDescent="0.35">
      <c r="A8">
        <f t="shared" ca="1" si="0"/>
        <v>0.86375438475060606</v>
      </c>
      <c r="B8">
        <f ca="1">RANK(A8,A1:A25)</f>
        <v>3</v>
      </c>
      <c r="C8">
        <v>8</v>
      </c>
      <c r="E8">
        <f t="shared" ca="1" si="1"/>
        <v>0.82719815187439405</v>
      </c>
      <c r="F8">
        <f ca="1">RANK(E8,E1:E25)</f>
        <v>6</v>
      </c>
      <c r="G8">
        <v>8</v>
      </c>
      <c r="I8">
        <f t="shared" ca="1" si="2"/>
        <v>0.91719628379477247</v>
      </c>
      <c r="J8">
        <f ca="1">RANK(I8,I1:I25)</f>
        <v>2</v>
      </c>
      <c r="K8">
        <v>8</v>
      </c>
      <c r="M8">
        <f t="shared" ca="1" si="3"/>
        <v>0.98757455048671505</v>
      </c>
      <c r="N8">
        <f ca="1">RANK(M8,M1:M25)</f>
        <v>1</v>
      </c>
      <c r="O8">
        <v>8</v>
      </c>
      <c r="Q8">
        <f t="shared" ca="1" si="4"/>
        <v>0.27373337921007879</v>
      </c>
      <c r="R8">
        <f ca="1">RANK(Q8,Q1:Q25)</f>
        <v>19</v>
      </c>
      <c r="S8">
        <v>8</v>
      </c>
      <c r="U8">
        <f t="shared" ca="1" si="5"/>
        <v>0.80915553568552889</v>
      </c>
      <c r="V8">
        <f ca="1">RANK(U8,U1:U25)</f>
        <v>7</v>
      </c>
      <c r="W8">
        <v>8</v>
      </c>
      <c r="Y8">
        <f t="shared" ca="1" si="6"/>
        <v>0.12038090927103529</v>
      </c>
      <c r="Z8">
        <f ca="1">RANK(Y8,Y1:Y25)</f>
        <v>24</v>
      </c>
      <c r="AA8">
        <v>8</v>
      </c>
      <c r="AC8">
        <f t="shared" ca="1" si="7"/>
        <v>0.82982418457831331</v>
      </c>
      <c r="AD8">
        <f ca="1">RANK(AC8,AC1:AC25)</f>
        <v>4</v>
      </c>
      <c r="AE8">
        <v>8</v>
      </c>
      <c r="AG8">
        <f t="shared" ca="1" si="8"/>
        <v>0.45606631341093129</v>
      </c>
      <c r="AH8">
        <f ca="1">RANK(AG8,AG1:AG25)</f>
        <v>16</v>
      </c>
      <c r="AI8">
        <v>8</v>
      </c>
      <c r="AK8">
        <f t="shared" ca="1" si="9"/>
        <v>0.54074726471365797</v>
      </c>
      <c r="AL8">
        <f ca="1">RANK(AK8,AK1:AK25)</f>
        <v>14</v>
      </c>
      <c r="AM8">
        <v>8</v>
      </c>
      <c r="AO8">
        <f t="shared" ca="1" si="10"/>
        <v>0.8401218676784391</v>
      </c>
      <c r="AP8">
        <f ca="1">RANK(AO8,AO1:AO25)</f>
        <v>3</v>
      </c>
      <c r="AQ8">
        <v>8</v>
      </c>
      <c r="AS8">
        <f t="shared" ca="1" si="11"/>
        <v>0.8607958988968285</v>
      </c>
      <c r="AT8">
        <f ca="1">RANK(AS8,AS1:AS25)</f>
        <v>5</v>
      </c>
      <c r="AU8">
        <v>8</v>
      </c>
    </row>
    <row r="9" spans="1:47" x14ac:dyDescent="0.35">
      <c r="A9">
        <f t="shared" ca="1" si="0"/>
        <v>0.52985224479195847</v>
      </c>
      <c r="B9">
        <f ca="1">RANK(A9,A1:A25)</f>
        <v>12</v>
      </c>
      <c r="C9">
        <v>9</v>
      </c>
      <c r="E9">
        <f t="shared" ca="1" si="1"/>
        <v>0.77071842197585261</v>
      </c>
      <c r="F9">
        <f ca="1">RANK(E9,E1:E25)</f>
        <v>8</v>
      </c>
      <c r="G9">
        <v>9</v>
      </c>
      <c r="I9">
        <f t="shared" ca="1" si="2"/>
        <v>0.85989118278024224</v>
      </c>
      <c r="J9">
        <f ca="1">RANK(I9,I1:I25)</f>
        <v>4</v>
      </c>
      <c r="K9">
        <v>9</v>
      </c>
      <c r="M9">
        <f t="shared" ca="1" si="3"/>
        <v>0.10931445916273941</v>
      </c>
      <c r="N9">
        <f ca="1">RANK(M9,M1:M25)</f>
        <v>25</v>
      </c>
      <c r="O9">
        <v>9</v>
      </c>
      <c r="Q9">
        <f t="shared" ca="1" si="4"/>
        <v>0.2362284255713677</v>
      </c>
      <c r="R9">
        <f ca="1">RANK(Q9,Q1:Q25)</f>
        <v>22</v>
      </c>
      <c r="S9">
        <v>9</v>
      </c>
      <c r="U9">
        <f t="shared" ca="1" si="5"/>
        <v>0.93371629409648482</v>
      </c>
      <c r="V9">
        <f ca="1">RANK(U9,U1:U25)</f>
        <v>2</v>
      </c>
      <c r="W9">
        <v>9</v>
      </c>
      <c r="Y9">
        <f t="shared" ca="1" si="6"/>
        <v>0.24708416925345922</v>
      </c>
      <c r="Z9">
        <f ca="1">RANK(Y9,Y1:Y25)</f>
        <v>21</v>
      </c>
      <c r="AA9">
        <v>9</v>
      </c>
      <c r="AC9">
        <f t="shared" ca="1" si="7"/>
        <v>5.4321556064973464E-4</v>
      </c>
      <c r="AD9">
        <f ca="1">RANK(AC9,AC1:AC25)</f>
        <v>25</v>
      </c>
      <c r="AE9">
        <v>9</v>
      </c>
      <c r="AG9">
        <f t="shared" ca="1" si="8"/>
        <v>0.35538349925359269</v>
      </c>
      <c r="AH9">
        <f ca="1">RANK(AG9,AG1:AG25)</f>
        <v>20</v>
      </c>
      <c r="AI9">
        <v>9</v>
      </c>
      <c r="AK9">
        <f t="shared" ca="1" si="9"/>
        <v>0.87835738917828776</v>
      </c>
      <c r="AL9">
        <f ca="1">RANK(AK9,AK1:AK25)</f>
        <v>5</v>
      </c>
      <c r="AM9">
        <v>9</v>
      </c>
      <c r="AO9">
        <f t="shared" ca="1" si="10"/>
        <v>0.8309644343401138</v>
      </c>
      <c r="AP9">
        <f ca="1">RANK(AO9,AO1:AO25)</f>
        <v>4</v>
      </c>
      <c r="AQ9">
        <v>9</v>
      </c>
      <c r="AS9">
        <f t="shared" ca="1" si="11"/>
        <v>0.45367220578039402</v>
      </c>
      <c r="AT9">
        <f ca="1">RANK(AS9,AS1:AS25)</f>
        <v>19</v>
      </c>
      <c r="AU9">
        <v>9</v>
      </c>
    </row>
    <row r="10" spans="1:47" x14ac:dyDescent="0.35">
      <c r="A10">
        <f t="shared" ca="1" si="0"/>
        <v>0.85541727229559861</v>
      </c>
      <c r="B10">
        <f ca="1">RANK(A10,A1:A25)</f>
        <v>4</v>
      </c>
      <c r="C10">
        <v>10</v>
      </c>
      <c r="E10">
        <f t="shared" ca="1" si="1"/>
        <v>0.6147477151927444</v>
      </c>
      <c r="F10">
        <f ca="1">RANK(E10,E1:E25)</f>
        <v>13</v>
      </c>
      <c r="G10">
        <v>10</v>
      </c>
      <c r="I10">
        <f t="shared" ca="1" si="2"/>
        <v>0.16507922381179985</v>
      </c>
      <c r="J10">
        <f ca="1">RANK(I10,I1:I25)</f>
        <v>25</v>
      </c>
      <c r="K10">
        <v>10</v>
      </c>
      <c r="M10">
        <f t="shared" ca="1" si="3"/>
        <v>0.62697777381932396</v>
      </c>
      <c r="N10">
        <f ca="1">RANK(M10,M1:M25)</f>
        <v>16</v>
      </c>
      <c r="O10">
        <v>10</v>
      </c>
      <c r="Q10">
        <f t="shared" ca="1" si="4"/>
        <v>0.26276607068522784</v>
      </c>
      <c r="R10">
        <f ca="1">RANK(Q10,Q1:Q25)</f>
        <v>20</v>
      </c>
      <c r="S10">
        <v>10</v>
      </c>
      <c r="U10">
        <f t="shared" ca="1" si="5"/>
        <v>0.71840274553330807</v>
      </c>
      <c r="V10">
        <f ca="1">RANK(U10,U1:U25)</f>
        <v>10</v>
      </c>
      <c r="W10">
        <v>10</v>
      </c>
      <c r="Y10">
        <f t="shared" ca="1" si="6"/>
        <v>0.35505427577933713</v>
      </c>
      <c r="Z10">
        <f ca="1">RANK(Y10,Y1:Y25)</f>
        <v>16</v>
      </c>
      <c r="AA10">
        <v>10</v>
      </c>
      <c r="AC10">
        <f t="shared" ca="1" si="7"/>
        <v>0.78667370636639855</v>
      </c>
      <c r="AD10">
        <f ca="1">RANK(AC10,AC1:AC25)</f>
        <v>5</v>
      </c>
      <c r="AE10">
        <v>10</v>
      </c>
      <c r="AG10">
        <f t="shared" ca="1" si="8"/>
        <v>0.57839748627087628</v>
      </c>
      <c r="AH10">
        <f ca="1">RANK(AG10,AG1:AG25)</f>
        <v>11</v>
      </c>
      <c r="AI10">
        <v>10</v>
      </c>
      <c r="AK10">
        <f t="shared" ca="1" si="9"/>
        <v>0.39254402628749574</v>
      </c>
      <c r="AL10">
        <f ca="1">RANK(AK10,AK1:AK25)</f>
        <v>18</v>
      </c>
      <c r="AM10">
        <v>10</v>
      </c>
      <c r="AO10">
        <f t="shared" ca="1" si="10"/>
        <v>0.69223657479081913</v>
      </c>
      <c r="AP10">
        <f ca="1">RANK(AO10,AO1:AO25)</f>
        <v>7</v>
      </c>
      <c r="AQ10">
        <v>10</v>
      </c>
      <c r="AS10">
        <f t="shared" ca="1" si="11"/>
        <v>0.73665251810891486</v>
      </c>
      <c r="AT10">
        <f ca="1">RANK(AS10,AS1:AS25)</f>
        <v>8</v>
      </c>
      <c r="AU10">
        <v>10</v>
      </c>
    </row>
    <row r="11" spans="1:47" x14ac:dyDescent="0.35">
      <c r="A11">
        <f t="shared" ca="1" si="0"/>
        <v>8.9721575124432906E-2</v>
      </c>
      <c r="B11">
        <f ca="1">RANK(A11,A1:A25)</f>
        <v>23</v>
      </c>
      <c r="C11">
        <v>11</v>
      </c>
      <c r="E11">
        <f t="shared" ca="1" si="1"/>
        <v>0.16743048486649592</v>
      </c>
      <c r="F11">
        <f ca="1">RANK(E11,E1:E25)</f>
        <v>21</v>
      </c>
      <c r="G11">
        <v>11</v>
      </c>
      <c r="I11">
        <f t="shared" ca="1" si="2"/>
        <v>0.7383183817311747</v>
      </c>
      <c r="J11">
        <f ca="1">RANK(I11,I1:I25)</f>
        <v>9</v>
      </c>
      <c r="K11">
        <v>11</v>
      </c>
      <c r="M11">
        <f t="shared" ca="1" si="3"/>
        <v>0.13415536930475114</v>
      </c>
      <c r="N11">
        <f ca="1">RANK(M11,M1:M25)</f>
        <v>23</v>
      </c>
      <c r="O11">
        <v>11</v>
      </c>
      <c r="Q11">
        <f t="shared" ca="1" si="4"/>
        <v>0.1862798461855234</v>
      </c>
      <c r="R11">
        <f ca="1">RANK(Q11,Q1:Q25)</f>
        <v>24</v>
      </c>
      <c r="S11">
        <v>11</v>
      </c>
      <c r="U11">
        <f t="shared" ca="1" si="5"/>
        <v>0.87960693068022466</v>
      </c>
      <c r="V11">
        <f ca="1">RANK(U11,U1:U25)</f>
        <v>4</v>
      </c>
      <c r="W11">
        <v>11</v>
      </c>
      <c r="Y11">
        <f t="shared" ca="1" si="6"/>
        <v>0.27466790758970405</v>
      </c>
      <c r="Z11">
        <f ca="1">RANK(Y11,Y1:Y25)</f>
        <v>19</v>
      </c>
      <c r="AA11">
        <v>11</v>
      </c>
      <c r="AC11">
        <f t="shared" ca="1" si="7"/>
        <v>0.38625040770433694</v>
      </c>
      <c r="AD11">
        <f ca="1">RANK(AC11,AC1:AC25)</f>
        <v>15</v>
      </c>
      <c r="AE11">
        <v>11</v>
      </c>
      <c r="AG11">
        <f t="shared" ca="1" si="8"/>
        <v>0.23712162209881738</v>
      </c>
      <c r="AH11">
        <f ca="1">RANK(AG11,AG1:AG25)</f>
        <v>23</v>
      </c>
      <c r="AI11">
        <v>11</v>
      </c>
      <c r="AK11">
        <f t="shared" ca="1" si="9"/>
        <v>0.71605949039336925</v>
      </c>
      <c r="AL11">
        <f ca="1">RANK(AK11,AK1:AK25)</f>
        <v>12</v>
      </c>
      <c r="AM11">
        <v>11</v>
      </c>
      <c r="AO11">
        <f t="shared" ca="1" si="10"/>
        <v>0.49817492828723131</v>
      </c>
      <c r="AP11">
        <f ca="1">RANK(AO11,AO1:AO25)</f>
        <v>12</v>
      </c>
      <c r="AQ11">
        <v>11</v>
      </c>
      <c r="AS11">
        <f t="shared" ca="1" si="11"/>
        <v>0.68958569113740831</v>
      </c>
      <c r="AT11">
        <f ca="1">RANK(AS11,AS1:AS25)</f>
        <v>14</v>
      </c>
      <c r="AU11">
        <v>11</v>
      </c>
    </row>
    <row r="12" spans="1:47" x14ac:dyDescent="0.35">
      <c r="A12">
        <f t="shared" ca="1" si="0"/>
        <v>0.58692911965168693</v>
      </c>
      <c r="B12">
        <f ca="1">RANK(A12,A1:A25)</f>
        <v>9</v>
      </c>
      <c r="C12">
        <v>12</v>
      </c>
      <c r="E12">
        <f t="shared" ca="1" si="1"/>
        <v>0.2798580730024075</v>
      </c>
      <c r="F12">
        <f ca="1">RANK(E12,E1:E25)</f>
        <v>19</v>
      </c>
      <c r="G12">
        <v>12</v>
      </c>
      <c r="I12">
        <f t="shared" ca="1" si="2"/>
        <v>0.74186492823477257</v>
      </c>
      <c r="J12">
        <f ca="1">RANK(I12,I1:I25)</f>
        <v>8</v>
      </c>
      <c r="K12">
        <v>12</v>
      </c>
      <c r="M12">
        <f t="shared" ca="1" si="3"/>
        <v>0.67396227984513157</v>
      </c>
      <c r="N12">
        <f ca="1">RANK(M12,M1:M25)</f>
        <v>14</v>
      </c>
      <c r="O12">
        <v>12</v>
      </c>
      <c r="Q12">
        <f t="shared" ca="1" si="4"/>
        <v>0.8293128895884283</v>
      </c>
      <c r="R12">
        <f ca="1">RANK(Q12,Q1:Q25)</f>
        <v>7</v>
      </c>
      <c r="S12">
        <v>12</v>
      </c>
      <c r="U12">
        <f t="shared" ca="1" si="5"/>
        <v>0.9347440103966197</v>
      </c>
      <c r="V12">
        <f ca="1">RANK(U12,U1:U25)</f>
        <v>1</v>
      </c>
      <c r="W12">
        <v>12</v>
      </c>
      <c r="Y12">
        <f t="shared" ca="1" si="6"/>
        <v>0.47176163807464788</v>
      </c>
      <c r="Z12">
        <f ca="1">RANK(Y12,Y1:Y25)</f>
        <v>12</v>
      </c>
      <c r="AA12">
        <v>12</v>
      </c>
      <c r="AC12">
        <f t="shared" ca="1" si="7"/>
        <v>0.17979189501228043</v>
      </c>
      <c r="AD12">
        <f ca="1">RANK(AC12,AC1:AC25)</f>
        <v>21</v>
      </c>
      <c r="AE12">
        <v>12</v>
      </c>
      <c r="AG12">
        <f t="shared" ca="1" si="8"/>
        <v>0.91026697581323524</v>
      </c>
      <c r="AH12">
        <f ca="1">RANK(AG12,AG1:AG25)</f>
        <v>3</v>
      </c>
      <c r="AI12">
        <v>12</v>
      </c>
      <c r="AK12">
        <f t="shared" ca="1" si="9"/>
        <v>0.89438990321778655</v>
      </c>
      <c r="AL12">
        <f ca="1">RANK(AK12,AK1:AK25)</f>
        <v>4</v>
      </c>
      <c r="AM12">
        <v>12</v>
      </c>
      <c r="AO12">
        <f t="shared" ca="1" si="10"/>
        <v>0.39115522474858877</v>
      </c>
      <c r="AP12">
        <f ca="1">RANK(AO12,AO1:AO25)</f>
        <v>14</v>
      </c>
      <c r="AQ12">
        <v>12</v>
      </c>
      <c r="AS12">
        <f t="shared" ca="1" si="11"/>
        <v>0.68612117636854708</v>
      </c>
      <c r="AT12">
        <f ca="1">RANK(AS12,AS1:AS25)</f>
        <v>15</v>
      </c>
      <c r="AU12">
        <v>12</v>
      </c>
    </row>
    <row r="13" spans="1:47" x14ac:dyDescent="0.35">
      <c r="A13">
        <f t="shared" ca="1" si="0"/>
        <v>0.56873754957974898</v>
      </c>
      <c r="B13">
        <f ca="1">RANK(A13,A1:A25)</f>
        <v>10</v>
      </c>
      <c r="C13">
        <v>13</v>
      </c>
      <c r="E13">
        <f t="shared" ca="1" si="1"/>
        <v>0.941083340134371</v>
      </c>
      <c r="F13">
        <f ca="1">RANK(E13,E1:E25)</f>
        <v>2</v>
      </c>
      <c r="G13">
        <v>13</v>
      </c>
      <c r="I13">
        <f t="shared" ca="1" si="2"/>
        <v>0.87653740795939328</v>
      </c>
      <c r="J13">
        <f ca="1">RANK(I13,I1:I25)</f>
        <v>3</v>
      </c>
      <c r="K13">
        <v>13</v>
      </c>
      <c r="M13">
        <f t="shared" ca="1" si="3"/>
        <v>0.61383826887404158</v>
      </c>
      <c r="N13">
        <f ca="1">RANK(M13,M1:M25)</f>
        <v>17</v>
      </c>
      <c r="O13">
        <v>13</v>
      </c>
      <c r="Q13">
        <f t="shared" ca="1" si="4"/>
        <v>0.73725072653412504</v>
      </c>
      <c r="R13">
        <f ca="1">RANK(Q13,Q1:Q25)</f>
        <v>9</v>
      </c>
      <c r="S13">
        <v>13</v>
      </c>
      <c r="U13">
        <f t="shared" ca="1" si="5"/>
        <v>0.1966814913978514</v>
      </c>
      <c r="V13">
        <f ca="1">RANK(U13,U1:U25)</f>
        <v>21</v>
      </c>
      <c r="W13">
        <v>13</v>
      </c>
      <c r="Y13">
        <f t="shared" ca="1" si="6"/>
        <v>0.32604209624199199</v>
      </c>
      <c r="Z13">
        <f ca="1">RANK(Y13,Y1:Y25)</f>
        <v>17</v>
      </c>
      <c r="AA13">
        <v>13</v>
      </c>
      <c r="AC13">
        <f t="shared" ca="1" si="7"/>
        <v>0.98121376957880169</v>
      </c>
      <c r="AD13">
        <f ca="1">RANK(AC13,AC1:AC25)</f>
        <v>1</v>
      </c>
      <c r="AE13">
        <v>13</v>
      </c>
      <c r="AG13">
        <f t="shared" ca="1" si="8"/>
        <v>0.19833152248741026</v>
      </c>
      <c r="AH13">
        <f ca="1">RANK(AG13,AG1:AG25)</f>
        <v>24</v>
      </c>
      <c r="AI13">
        <v>13</v>
      </c>
      <c r="AK13">
        <f t="shared" ca="1" si="9"/>
        <v>0.79762720668277343</v>
      </c>
      <c r="AL13">
        <f ca="1">RANK(AK13,AK1:AK25)</f>
        <v>7</v>
      </c>
      <c r="AM13">
        <v>13</v>
      </c>
      <c r="AO13">
        <f t="shared" ca="1" si="10"/>
        <v>0.86365235587847766</v>
      </c>
      <c r="AP13">
        <f ca="1">RANK(AO13,AO1:AO25)</f>
        <v>2</v>
      </c>
      <c r="AQ13">
        <v>13</v>
      </c>
      <c r="AS13">
        <f t="shared" ca="1" si="11"/>
        <v>0.98536100289008877</v>
      </c>
      <c r="AT13">
        <f ca="1">RANK(AS13,AS1:AS25)</f>
        <v>1</v>
      </c>
      <c r="AU13">
        <v>13</v>
      </c>
    </row>
    <row r="14" spans="1:47" x14ac:dyDescent="0.35">
      <c r="A14">
        <f t="shared" ca="1" si="0"/>
        <v>0.31099575240096766</v>
      </c>
      <c r="B14">
        <f ca="1">RANK(A14,A1:A25)</f>
        <v>14</v>
      </c>
      <c r="C14">
        <v>14</v>
      </c>
      <c r="E14">
        <f t="shared" ca="1" si="1"/>
        <v>8.0960193176404793E-3</v>
      </c>
      <c r="F14">
        <f ca="1">RANK(E14,E1:E25)</f>
        <v>25</v>
      </c>
      <c r="G14">
        <v>14</v>
      </c>
      <c r="I14">
        <f t="shared" ca="1" si="2"/>
        <v>0.79384828442704225</v>
      </c>
      <c r="J14">
        <f ca="1">RANK(I14,I1:I25)</f>
        <v>7</v>
      </c>
      <c r="K14">
        <v>14</v>
      </c>
      <c r="M14">
        <f t="shared" ca="1" si="3"/>
        <v>0.76379616269450723</v>
      </c>
      <c r="N14">
        <f ca="1">RANK(M14,M1:M25)</f>
        <v>10</v>
      </c>
      <c r="O14">
        <v>14</v>
      </c>
      <c r="Q14">
        <f t="shared" ca="1" si="4"/>
        <v>0.87061158184058896</v>
      </c>
      <c r="R14">
        <f ca="1">RANK(Q14,Q1:Q25)</f>
        <v>5</v>
      </c>
      <c r="S14">
        <v>14</v>
      </c>
      <c r="U14">
        <f t="shared" ca="1" si="5"/>
        <v>0.65179811081828909</v>
      </c>
      <c r="V14">
        <f ca="1">RANK(U14,U1:U25)</f>
        <v>11</v>
      </c>
      <c r="W14">
        <v>14</v>
      </c>
      <c r="Y14">
        <f t="shared" ca="1" si="6"/>
        <v>0.69032523928760026</v>
      </c>
      <c r="Z14">
        <f ca="1">RANK(Y14,Y1:Y25)</f>
        <v>9</v>
      </c>
      <c r="AA14">
        <v>14</v>
      </c>
      <c r="AC14">
        <f t="shared" ca="1" si="7"/>
        <v>0.39201138401718416</v>
      </c>
      <c r="AD14">
        <f ca="1">RANK(AC14,AC1:AC25)</f>
        <v>14</v>
      </c>
      <c r="AE14">
        <v>14</v>
      </c>
      <c r="AG14">
        <f t="shared" ca="1" si="8"/>
        <v>0.93498063922169072</v>
      </c>
      <c r="AH14">
        <f ca="1">RANK(AG14,AG1:AG25)</f>
        <v>1</v>
      </c>
      <c r="AI14">
        <v>14</v>
      </c>
      <c r="AK14">
        <f t="shared" ca="1" si="9"/>
        <v>3.2041379183102681E-2</v>
      </c>
      <c r="AL14">
        <f ca="1">RANK(AK14,AK1:AK25)</f>
        <v>25</v>
      </c>
      <c r="AM14">
        <v>14</v>
      </c>
      <c r="AO14">
        <f t="shared" ca="1" si="10"/>
        <v>0.6403656216597079</v>
      </c>
      <c r="AP14">
        <f ca="1">RANK(AO14,AO1:AO25)</f>
        <v>9</v>
      </c>
      <c r="AQ14">
        <v>14</v>
      </c>
      <c r="AS14">
        <f t="shared" ca="1" si="11"/>
        <v>0.41646508785324321</v>
      </c>
      <c r="AT14">
        <f ca="1">RANK(AS14,AS1:AS25)</f>
        <v>20</v>
      </c>
      <c r="AU14">
        <v>14</v>
      </c>
    </row>
    <row r="15" spans="1:47" x14ac:dyDescent="0.35">
      <c r="A15">
        <f t="shared" ca="1" si="0"/>
        <v>1.7748673920232605E-2</v>
      </c>
      <c r="B15">
        <f ca="1">RANK(A15,A1:A25)</f>
        <v>25</v>
      </c>
      <c r="C15">
        <v>15</v>
      </c>
      <c r="E15">
        <f t="shared" ca="1" si="1"/>
        <v>0.47006126929887992</v>
      </c>
      <c r="F15">
        <f ca="1">RANK(E15,E1:E25)</f>
        <v>15</v>
      </c>
      <c r="G15">
        <v>15</v>
      </c>
      <c r="I15">
        <f t="shared" ca="1" si="2"/>
        <v>0.5568321823611585</v>
      </c>
      <c r="J15">
        <f ca="1">RANK(I15,I1:I25)</f>
        <v>18</v>
      </c>
      <c r="K15">
        <v>15</v>
      </c>
      <c r="M15">
        <f t="shared" ca="1" si="3"/>
        <v>0.3553550715860524</v>
      </c>
      <c r="N15">
        <f ca="1">RANK(M15,M1:M25)</f>
        <v>19</v>
      </c>
      <c r="O15">
        <v>15</v>
      </c>
      <c r="Q15">
        <f t="shared" ca="1" si="4"/>
        <v>0.48379844216954582</v>
      </c>
      <c r="R15">
        <f ca="1">RANK(Q15,Q1:Q25)</f>
        <v>15</v>
      </c>
      <c r="S15">
        <v>15</v>
      </c>
      <c r="U15">
        <f t="shared" ca="1" si="5"/>
        <v>0.38708203005662145</v>
      </c>
      <c r="V15">
        <f ca="1">RANK(U15,U1:U25)</f>
        <v>13</v>
      </c>
      <c r="W15">
        <v>15</v>
      </c>
      <c r="Y15">
        <f t="shared" ca="1" si="6"/>
        <v>0.63977533746183013</v>
      </c>
      <c r="Z15">
        <f ca="1">RANK(Y15,Y1:Y25)</f>
        <v>10</v>
      </c>
      <c r="AA15">
        <v>15</v>
      </c>
      <c r="AC15">
        <f t="shared" ca="1" si="7"/>
        <v>3.5343759759699722E-2</v>
      </c>
      <c r="AD15">
        <f ca="1">RANK(AC15,AC1:AC25)</f>
        <v>23</v>
      </c>
      <c r="AE15">
        <v>15</v>
      </c>
      <c r="AG15">
        <f t="shared" ca="1" si="8"/>
        <v>0.65222410180731627</v>
      </c>
      <c r="AH15">
        <f ca="1">RANK(AG15,AG1:AG25)</f>
        <v>8</v>
      </c>
      <c r="AI15">
        <v>15</v>
      </c>
      <c r="AK15">
        <f t="shared" ca="1" si="9"/>
        <v>0.72132984667808708</v>
      </c>
      <c r="AL15">
        <f ca="1">RANK(AK15,AK1:AK25)</f>
        <v>11</v>
      </c>
      <c r="AM15">
        <v>15</v>
      </c>
      <c r="AO15">
        <f t="shared" ca="1" si="10"/>
        <v>0.18728671653850315</v>
      </c>
      <c r="AP15">
        <f ca="1">RANK(AO15,AO1:AO25)</f>
        <v>18</v>
      </c>
      <c r="AQ15">
        <v>15</v>
      </c>
      <c r="AS15">
        <f t="shared" ca="1" si="11"/>
        <v>0.72347948491550162</v>
      </c>
      <c r="AT15">
        <f ca="1">RANK(AS15,AS1:AS25)</f>
        <v>10</v>
      </c>
      <c r="AU15">
        <v>15</v>
      </c>
    </row>
    <row r="16" spans="1:47" x14ac:dyDescent="0.35">
      <c r="A16">
        <f t="shared" ca="1" si="0"/>
        <v>0.91162189135307736</v>
      </c>
      <c r="B16">
        <f ca="1">RANK(A16,A1:A25)</f>
        <v>2</v>
      </c>
      <c r="C16">
        <v>16</v>
      </c>
      <c r="E16">
        <f t="shared" ca="1" si="1"/>
        <v>0.63975632287695283</v>
      </c>
      <c r="F16">
        <f ca="1">RANK(E16,E1:E25)</f>
        <v>11</v>
      </c>
      <c r="G16">
        <v>16</v>
      </c>
      <c r="I16">
        <f t="shared" ca="1" si="2"/>
        <v>0.68956507537480138</v>
      </c>
      <c r="J16">
        <f ca="1">RANK(I16,I1:I25)</f>
        <v>10</v>
      </c>
      <c r="K16">
        <v>16</v>
      </c>
      <c r="M16">
        <f t="shared" ca="1" si="3"/>
        <v>0.88910019329936063</v>
      </c>
      <c r="N16">
        <f ca="1">RANK(M16,M1:M25)</f>
        <v>6</v>
      </c>
      <c r="O16">
        <v>16</v>
      </c>
      <c r="Q16">
        <f t="shared" ca="1" si="4"/>
        <v>0.36502369442825144</v>
      </c>
      <c r="R16">
        <f ca="1">RANK(Q16,Q1:Q25)</f>
        <v>18</v>
      </c>
      <c r="S16">
        <v>16</v>
      </c>
      <c r="U16">
        <f t="shared" ca="1" si="5"/>
        <v>0.51918133062957494</v>
      </c>
      <c r="V16">
        <f ca="1">RANK(U16,U1:U25)</f>
        <v>12</v>
      </c>
      <c r="W16">
        <v>16</v>
      </c>
      <c r="Y16">
        <f t="shared" ca="1" si="6"/>
        <v>0.83476282904384891</v>
      </c>
      <c r="Z16">
        <f ca="1">RANK(Y16,Y1:Y25)</f>
        <v>4</v>
      </c>
      <c r="AA16">
        <v>16</v>
      </c>
      <c r="AC16">
        <f t="shared" ca="1" si="7"/>
        <v>0.42547838307983799</v>
      </c>
      <c r="AD16">
        <f ca="1">RANK(AC16,AC1:AC25)</f>
        <v>12</v>
      </c>
      <c r="AE16">
        <v>16</v>
      </c>
      <c r="AG16">
        <f t="shared" ca="1" si="8"/>
        <v>0.36080161510282271</v>
      </c>
      <c r="AH16">
        <f ca="1">RANK(AG16,AG1:AG25)</f>
        <v>19</v>
      </c>
      <c r="AI16">
        <v>16</v>
      </c>
      <c r="AK16">
        <f t="shared" ca="1" si="9"/>
        <v>0.42263651960260795</v>
      </c>
      <c r="AL16">
        <f ca="1">RANK(AK16,AK1:AK25)</f>
        <v>17</v>
      </c>
      <c r="AM16">
        <v>16</v>
      </c>
      <c r="AO16">
        <f t="shared" ca="1" si="10"/>
        <v>0.43455178448878296</v>
      </c>
      <c r="AP16">
        <f ca="1">RANK(AO16,AO1:AO25)</f>
        <v>13</v>
      </c>
      <c r="AQ16">
        <v>16</v>
      </c>
      <c r="AS16">
        <f t="shared" ca="1" si="11"/>
        <v>0.69243285932718157</v>
      </c>
      <c r="AT16">
        <f ca="1">RANK(AS16,AS1:AS25)</f>
        <v>13</v>
      </c>
      <c r="AU16">
        <v>16</v>
      </c>
    </row>
    <row r="17" spans="1:47" x14ac:dyDescent="0.35">
      <c r="A17">
        <f t="shared" ca="1" si="0"/>
        <v>0.25842385362260956</v>
      </c>
      <c r="B17">
        <f ca="1">RANK(A17,A1:A25)</f>
        <v>17</v>
      </c>
      <c r="C17">
        <v>17</v>
      </c>
      <c r="E17">
        <f t="shared" ca="1" si="1"/>
        <v>0.94863533299401237</v>
      </c>
      <c r="F17">
        <f ca="1">RANK(E17,E1:E25)</f>
        <v>1</v>
      </c>
      <c r="G17">
        <v>17</v>
      </c>
      <c r="I17">
        <f t="shared" ca="1" si="2"/>
        <v>0.64414050949140111</v>
      </c>
      <c r="J17">
        <f ca="1">RANK(I17,I1:I25)</f>
        <v>14</v>
      </c>
      <c r="K17">
        <v>17</v>
      </c>
      <c r="M17">
        <f t="shared" ca="1" si="3"/>
        <v>0.69480327200569647</v>
      </c>
      <c r="N17">
        <f ca="1">RANK(M17,M1:M25)</f>
        <v>12</v>
      </c>
      <c r="O17">
        <v>17</v>
      </c>
      <c r="Q17">
        <f t="shared" ca="1" si="4"/>
        <v>0.43926479341652969</v>
      </c>
      <c r="R17">
        <f ca="1">RANK(Q17,Q1:Q25)</f>
        <v>16</v>
      </c>
      <c r="S17">
        <v>17</v>
      </c>
      <c r="U17">
        <f t="shared" ca="1" si="5"/>
        <v>0.18704778863980021</v>
      </c>
      <c r="V17">
        <f ca="1">RANK(U17,U1:U25)</f>
        <v>22</v>
      </c>
      <c r="W17">
        <v>17</v>
      </c>
      <c r="Y17">
        <f t="shared" ca="1" si="6"/>
        <v>0.45736591999223875</v>
      </c>
      <c r="Z17">
        <f ca="1">RANK(Y17,Y1:Y25)</f>
        <v>14</v>
      </c>
      <c r="AA17">
        <v>17</v>
      </c>
      <c r="AC17">
        <f t="shared" ca="1" si="7"/>
        <v>0.33561264572409499</v>
      </c>
      <c r="AD17">
        <f ca="1">RANK(AC17,AC1:AC25)</f>
        <v>17</v>
      </c>
      <c r="AE17">
        <v>17</v>
      </c>
      <c r="AG17">
        <f t="shared" ca="1" si="8"/>
        <v>0.59336056272532778</v>
      </c>
      <c r="AH17">
        <f ca="1">RANK(AG17,AG1:AG25)</f>
        <v>9</v>
      </c>
      <c r="AI17">
        <v>17</v>
      </c>
      <c r="AK17">
        <f t="shared" ca="1" si="9"/>
        <v>8.7687033193204034E-2</v>
      </c>
      <c r="AL17">
        <f ca="1">RANK(AK17,AK1:AK25)</f>
        <v>21</v>
      </c>
      <c r="AM17">
        <v>17</v>
      </c>
      <c r="AO17">
        <f t="shared" ca="1" si="10"/>
        <v>0.82274824999925666</v>
      </c>
      <c r="AP17">
        <f ca="1">RANK(AO17,AO1:AO25)</f>
        <v>5</v>
      </c>
      <c r="AQ17">
        <v>17</v>
      </c>
      <c r="AS17">
        <f t="shared" ca="1" si="11"/>
        <v>0.12115326060924059</v>
      </c>
      <c r="AT17">
        <f ca="1">RANK(AS17,AS1:AS25)</f>
        <v>25</v>
      </c>
      <c r="AU17">
        <v>17</v>
      </c>
    </row>
    <row r="18" spans="1:47" x14ac:dyDescent="0.35">
      <c r="A18">
        <f t="shared" ca="1" si="0"/>
        <v>0.55162127102907743</v>
      </c>
      <c r="B18">
        <f ca="1">RANK(A18,A1:A25)</f>
        <v>11</v>
      </c>
      <c r="C18">
        <v>18</v>
      </c>
      <c r="E18">
        <f t="shared" ca="1" si="1"/>
        <v>0.88167201288243824</v>
      </c>
      <c r="F18">
        <f ca="1">RANK(E18,E1:E25)</f>
        <v>4</v>
      </c>
      <c r="G18">
        <v>18</v>
      </c>
      <c r="I18">
        <f t="shared" ca="1" si="2"/>
        <v>0.84375667568473844</v>
      </c>
      <c r="J18">
        <f ca="1">RANK(I18,I1:I25)</f>
        <v>5</v>
      </c>
      <c r="K18">
        <v>18</v>
      </c>
      <c r="M18">
        <f t="shared" ca="1" si="3"/>
        <v>0.74998472867258137</v>
      </c>
      <c r="N18">
        <f ca="1">RANK(M18,M1:M25)</f>
        <v>11</v>
      </c>
      <c r="O18">
        <v>18</v>
      </c>
      <c r="Q18">
        <f t="shared" ca="1" si="4"/>
        <v>0.84051558074540555</v>
      </c>
      <c r="R18">
        <f ca="1">RANK(Q18,Q1:Q25)</f>
        <v>6</v>
      </c>
      <c r="S18">
        <v>18</v>
      </c>
      <c r="U18">
        <f t="shared" ca="1" si="5"/>
        <v>0.36076076869937113</v>
      </c>
      <c r="V18">
        <f ca="1">RANK(U18,U1:U25)</f>
        <v>14</v>
      </c>
      <c r="W18">
        <v>18</v>
      </c>
      <c r="Y18">
        <f t="shared" ca="1" si="6"/>
        <v>0.46278243893666926</v>
      </c>
      <c r="Z18">
        <f ca="1">RANK(Y18,Y1:Y25)</f>
        <v>13</v>
      </c>
      <c r="AA18">
        <v>18</v>
      </c>
      <c r="AC18">
        <f t="shared" ca="1" si="7"/>
        <v>4.7135719220146699E-2</v>
      </c>
      <c r="AD18">
        <f ca="1">RANK(AC18,AC1:AC25)</f>
        <v>22</v>
      </c>
      <c r="AE18">
        <v>18</v>
      </c>
      <c r="AG18">
        <f t="shared" ca="1" si="8"/>
        <v>0.86717430072030377</v>
      </c>
      <c r="AH18">
        <f ca="1">RANK(AG18,AG1:AG25)</f>
        <v>4</v>
      </c>
      <c r="AI18">
        <v>18</v>
      </c>
      <c r="AK18">
        <f t="shared" ca="1" si="9"/>
        <v>0.49904003592651602</v>
      </c>
      <c r="AL18">
        <f ca="1">RANK(AK18,AK1:AK25)</f>
        <v>15</v>
      </c>
      <c r="AM18">
        <v>18</v>
      </c>
      <c r="AO18">
        <f t="shared" ca="1" si="10"/>
        <v>0.64592356373129201</v>
      </c>
      <c r="AP18">
        <f ca="1">RANK(AO18,AO1:AO25)</f>
        <v>8</v>
      </c>
      <c r="AQ18">
        <v>18</v>
      </c>
      <c r="AS18">
        <f t="shared" ca="1" si="11"/>
        <v>0.81343492452436428</v>
      </c>
      <c r="AT18">
        <f ca="1">RANK(AS18,AS1:AS25)</f>
        <v>6</v>
      </c>
      <c r="AU18">
        <v>18</v>
      </c>
    </row>
    <row r="19" spans="1:47" x14ac:dyDescent="0.35">
      <c r="A19">
        <f t="shared" ca="1" si="0"/>
        <v>0.40435716615852224</v>
      </c>
      <c r="B19">
        <f ca="1">RANK(A19,A1:A25)</f>
        <v>13</v>
      </c>
      <c r="C19">
        <v>19</v>
      </c>
      <c r="E19">
        <f t="shared" ca="1" si="1"/>
        <v>0.18483854415595902</v>
      </c>
      <c r="F19">
        <f ca="1">RANK(E19,E1:E25)</f>
        <v>20</v>
      </c>
      <c r="G19">
        <v>19</v>
      </c>
      <c r="I19">
        <f t="shared" ca="1" si="2"/>
        <v>0.50372013109383096</v>
      </c>
      <c r="J19">
        <f ca="1">RANK(I19,I1:I25)</f>
        <v>19</v>
      </c>
      <c r="K19">
        <v>19</v>
      </c>
      <c r="M19">
        <f t="shared" ca="1" si="3"/>
        <v>0.31021099945686259</v>
      </c>
      <c r="N19">
        <f ca="1">RANK(M19,M1:M25)</f>
        <v>20</v>
      </c>
      <c r="O19">
        <v>19</v>
      </c>
      <c r="Q19">
        <f t="shared" ca="1" si="4"/>
        <v>0.16712886357657486</v>
      </c>
      <c r="R19">
        <f ca="1">RANK(Q19,Q1:Q25)</f>
        <v>25</v>
      </c>
      <c r="S19">
        <v>19</v>
      </c>
      <c r="U19">
        <f t="shared" ca="1" si="5"/>
        <v>0.22435706983746051</v>
      </c>
      <c r="V19">
        <f ca="1">RANK(U19,U1:U25)</f>
        <v>20</v>
      </c>
      <c r="W19">
        <v>19</v>
      </c>
      <c r="Y19">
        <f t="shared" ca="1" si="6"/>
        <v>0.84981884701331067</v>
      </c>
      <c r="Z19">
        <f ca="1">RANK(Y19,Y1:Y25)</f>
        <v>3</v>
      </c>
      <c r="AA19">
        <v>19</v>
      </c>
      <c r="AC19">
        <f t="shared" ca="1" si="7"/>
        <v>0.49093429306270531</v>
      </c>
      <c r="AD19">
        <f ca="1">RANK(AC19,AC1:AC25)</f>
        <v>9</v>
      </c>
      <c r="AE19">
        <v>19</v>
      </c>
      <c r="AG19">
        <f t="shared" ca="1" si="8"/>
        <v>0.65958759250816401</v>
      </c>
      <c r="AH19">
        <f ca="1">RANK(AG19,AG1:AG25)</f>
        <v>7</v>
      </c>
      <c r="AI19">
        <v>19</v>
      </c>
      <c r="AK19">
        <f t="shared" ca="1" si="9"/>
        <v>0.77391931482315579</v>
      </c>
      <c r="AL19">
        <f ca="1">RANK(AK19,AK1:AK25)</f>
        <v>9</v>
      </c>
      <c r="AM19">
        <v>19</v>
      </c>
      <c r="AO19">
        <f t="shared" ca="1" si="10"/>
        <v>0.29454653366779848</v>
      </c>
      <c r="AP19">
        <f ca="1">RANK(AO19,AO1:AO25)</f>
        <v>16</v>
      </c>
      <c r="AQ19">
        <v>19</v>
      </c>
      <c r="AS19">
        <f t="shared" ca="1" si="11"/>
        <v>0.61363414097721736</v>
      </c>
      <c r="AT19">
        <f ca="1">RANK(AS19,AS1:AS25)</f>
        <v>17</v>
      </c>
      <c r="AU19">
        <v>19</v>
      </c>
    </row>
    <row r="20" spans="1:47" x14ac:dyDescent="0.35">
      <c r="A20">
        <f t="shared" ca="1" si="0"/>
        <v>0.17958752702099634</v>
      </c>
      <c r="B20">
        <f ca="1">RANK(A20,A1:A25)</f>
        <v>18</v>
      </c>
      <c r="C20">
        <v>20</v>
      </c>
      <c r="E20">
        <f t="shared" ca="1" si="1"/>
        <v>0.61540098497940121</v>
      </c>
      <c r="F20">
        <f ca="1">RANK(E20,E1:E25)</f>
        <v>12</v>
      </c>
      <c r="G20">
        <v>20</v>
      </c>
      <c r="I20">
        <f t="shared" ca="1" si="2"/>
        <v>0.67462817661757357</v>
      </c>
      <c r="J20">
        <f ca="1">RANK(I20,I1:I25)</f>
        <v>13</v>
      </c>
      <c r="K20">
        <v>20</v>
      </c>
      <c r="M20">
        <f t="shared" ca="1" si="3"/>
        <v>0.89510246125541404</v>
      </c>
      <c r="N20">
        <f ca="1">RANK(M20,M1:M25)</f>
        <v>5</v>
      </c>
      <c r="O20">
        <v>20</v>
      </c>
      <c r="Q20">
        <f t="shared" ca="1" si="4"/>
        <v>0.81918410748738779</v>
      </c>
      <c r="R20">
        <f ca="1">RANK(Q20,Q1:Q25)</f>
        <v>8</v>
      </c>
      <c r="S20">
        <v>20</v>
      </c>
      <c r="U20">
        <f t="shared" ca="1" si="5"/>
        <v>0.18131611857025265</v>
      </c>
      <c r="V20">
        <f ca="1">RANK(U20,U1:U25)</f>
        <v>23</v>
      </c>
      <c r="W20">
        <v>20</v>
      </c>
      <c r="Y20">
        <f t="shared" ca="1" si="6"/>
        <v>0.76530279427178327</v>
      </c>
      <c r="Z20">
        <f ca="1">RANK(Y20,Y1:Y25)</f>
        <v>7</v>
      </c>
      <c r="AA20">
        <v>20</v>
      </c>
      <c r="AC20">
        <f t="shared" ca="1" si="7"/>
        <v>0.32388767358626214</v>
      </c>
      <c r="AD20">
        <f ca="1">RANK(AC20,AC1:AC25)</f>
        <v>18</v>
      </c>
      <c r="AE20">
        <v>20</v>
      </c>
      <c r="AG20">
        <f t="shared" ca="1" si="8"/>
        <v>0.16780327754751112</v>
      </c>
      <c r="AH20">
        <f ca="1">RANK(AG20,AG1:AG25)</f>
        <v>25</v>
      </c>
      <c r="AI20">
        <v>20</v>
      </c>
      <c r="AK20">
        <f t="shared" ca="1" si="9"/>
        <v>0.96970513834484162</v>
      </c>
      <c r="AL20">
        <f ca="1">RANK(AK20,AK1:AK25)</f>
        <v>1</v>
      </c>
      <c r="AM20">
        <v>20</v>
      </c>
      <c r="AO20">
        <f t="shared" ca="1" si="10"/>
        <v>0.58509127743182554</v>
      </c>
      <c r="AP20">
        <f ca="1">RANK(AO20,AO1:AO25)</f>
        <v>10</v>
      </c>
      <c r="AQ20">
        <v>20</v>
      </c>
      <c r="AS20">
        <f t="shared" ca="1" si="11"/>
        <v>0.30563665244338545</v>
      </c>
      <c r="AT20">
        <f ca="1">RANK(AS20,AS1:AS25)</f>
        <v>22</v>
      </c>
      <c r="AU20">
        <v>20</v>
      </c>
    </row>
    <row r="21" spans="1:47" x14ac:dyDescent="0.35">
      <c r="A21">
        <f t="shared" ca="1" si="0"/>
        <v>0.28566065797984808</v>
      </c>
      <c r="B21">
        <f ca="1">RANK(A21,A1:A25)</f>
        <v>16</v>
      </c>
      <c r="C21">
        <v>21</v>
      </c>
      <c r="E21">
        <f t="shared" ca="1" si="1"/>
        <v>0.30329698248420178</v>
      </c>
      <c r="F21">
        <f ca="1">RANK(E21,E1:E25)</f>
        <v>18</v>
      </c>
      <c r="G21">
        <v>21</v>
      </c>
      <c r="I21">
        <f t="shared" ca="1" si="2"/>
        <v>0.36363938557215569</v>
      </c>
      <c r="J21">
        <f ca="1">RANK(I21,I1:I25)</f>
        <v>21</v>
      </c>
      <c r="K21">
        <v>21</v>
      </c>
      <c r="M21">
        <f t="shared" ca="1" si="3"/>
        <v>0.22186216825992011</v>
      </c>
      <c r="N21">
        <f ca="1">RANK(M21,M1:M25)</f>
        <v>22</v>
      </c>
      <c r="O21">
        <v>21</v>
      </c>
      <c r="Q21">
        <f t="shared" ca="1" si="4"/>
        <v>0.24361453059625882</v>
      </c>
      <c r="R21">
        <f ca="1">RANK(Q21,Q1:Q25)</f>
        <v>21</v>
      </c>
      <c r="S21">
        <v>21</v>
      </c>
      <c r="U21">
        <f t="shared" ca="1" si="5"/>
        <v>0.28167475243778539</v>
      </c>
      <c r="V21">
        <f ca="1">RANK(U21,U1:U25)</f>
        <v>19</v>
      </c>
      <c r="W21">
        <v>21</v>
      </c>
      <c r="Y21">
        <f t="shared" ca="1" si="6"/>
        <v>0.78070928004481188</v>
      </c>
      <c r="Z21">
        <f ca="1">RANK(Y21,Y1:Y25)</f>
        <v>6</v>
      </c>
      <c r="AA21">
        <v>21</v>
      </c>
      <c r="AC21">
        <f t="shared" ca="1" si="7"/>
        <v>1.9633254733745109E-2</v>
      </c>
      <c r="AD21">
        <f ca="1">RANK(AC21,AC1:AC25)</f>
        <v>24</v>
      </c>
      <c r="AE21">
        <v>21</v>
      </c>
      <c r="AG21">
        <f t="shared" ca="1" si="8"/>
        <v>0.54825134961965216</v>
      </c>
      <c r="AH21">
        <f ca="1">RANK(AG21,AG1:AG25)</f>
        <v>12</v>
      </c>
      <c r="AI21">
        <v>21</v>
      </c>
      <c r="AK21">
        <f t="shared" ca="1" si="9"/>
        <v>0.86771369008380239</v>
      </c>
      <c r="AL21">
        <f ca="1">RANK(AK21,AK1:AK25)</f>
        <v>6</v>
      </c>
      <c r="AM21">
        <v>21</v>
      </c>
      <c r="AO21">
        <f t="shared" ca="1" si="10"/>
        <v>0.89106237136676181</v>
      </c>
      <c r="AP21">
        <f ca="1">RANK(AO21,AO1:AO25)</f>
        <v>1</v>
      </c>
      <c r="AQ21">
        <v>21</v>
      </c>
      <c r="AS21">
        <f t="shared" ca="1" si="11"/>
        <v>0.27139642122609609</v>
      </c>
      <c r="AT21">
        <f ca="1">RANK(AS21,AS1:AS25)</f>
        <v>23</v>
      </c>
      <c r="AU21">
        <v>21</v>
      </c>
    </row>
    <row r="22" spans="1:47" x14ac:dyDescent="0.35">
      <c r="A22">
        <f t="shared" ca="1" si="0"/>
        <v>0.98286183315035125</v>
      </c>
      <c r="B22">
        <f ca="1">RANK(A22,A1:A25)</f>
        <v>1</v>
      </c>
      <c r="C22">
        <v>22</v>
      </c>
      <c r="E22">
        <f t="shared" ca="1" si="1"/>
        <v>0.44951710233786724</v>
      </c>
      <c r="F22">
        <f ca="1">RANK(E22,E1:E25)</f>
        <v>16</v>
      </c>
      <c r="G22">
        <v>22</v>
      </c>
      <c r="I22">
        <f t="shared" ca="1" si="2"/>
        <v>0.92039588821909846</v>
      </c>
      <c r="J22">
        <f ca="1">RANK(I22,I1:I25)</f>
        <v>1</v>
      </c>
      <c r="K22">
        <v>22</v>
      </c>
      <c r="M22">
        <f t="shared" ca="1" si="3"/>
        <v>0.96947381083007633</v>
      </c>
      <c r="N22">
        <f ca="1">RANK(M22,M1:M25)</f>
        <v>2</v>
      </c>
      <c r="O22">
        <v>22</v>
      </c>
      <c r="Q22">
        <f t="shared" ca="1" si="4"/>
        <v>0.9183788370841226</v>
      </c>
      <c r="R22">
        <f ca="1">RANK(Q22,Q1:Q25)</f>
        <v>3</v>
      </c>
      <c r="S22">
        <v>22</v>
      </c>
      <c r="U22">
        <f t="shared" ca="1" si="5"/>
        <v>0.7621340644923531</v>
      </c>
      <c r="V22">
        <f ca="1">RANK(U22,U1:U25)</f>
        <v>9</v>
      </c>
      <c r="W22">
        <v>22</v>
      </c>
      <c r="Y22">
        <f t="shared" ca="1" si="6"/>
        <v>0.12091092731295072</v>
      </c>
      <c r="Z22">
        <f ca="1">RANK(Y22,Y1:Y25)</f>
        <v>23</v>
      </c>
      <c r="AA22">
        <v>22</v>
      </c>
      <c r="AC22">
        <f t="shared" ca="1" si="7"/>
        <v>0.44634264869864837</v>
      </c>
      <c r="AD22">
        <f ca="1">RANK(AC22,AC1:AC25)</f>
        <v>11</v>
      </c>
      <c r="AE22">
        <v>22</v>
      </c>
      <c r="AG22">
        <f t="shared" ca="1" si="8"/>
        <v>0.50242944903147435</v>
      </c>
      <c r="AH22">
        <f ca="1">RANK(AG22,AG1:AG25)</f>
        <v>14</v>
      </c>
      <c r="AI22">
        <v>22</v>
      </c>
      <c r="AK22">
        <f t="shared" ca="1" si="9"/>
        <v>0.7292233153759744</v>
      </c>
      <c r="AL22">
        <f ca="1">RANK(AK22,AK1:AK25)</f>
        <v>10</v>
      </c>
      <c r="AM22">
        <v>22</v>
      </c>
      <c r="AO22">
        <f t="shared" ca="1" si="10"/>
        <v>0.10705285904312789</v>
      </c>
      <c r="AP22">
        <f ca="1">RANK(AO22,AO1:AO25)</f>
        <v>23</v>
      </c>
      <c r="AQ22">
        <v>22</v>
      </c>
      <c r="AS22">
        <f t="shared" ca="1" si="11"/>
        <v>0.87010105261719639</v>
      </c>
      <c r="AT22">
        <f ca="1">RANK(AS22,AS1:AS25)</f>
        <v>4</v>
      </c>
      <c r="AU22">
        <v>22</v>
      </c>
    </row>
    <row r="23" spans="1:47" x14ac:dyDescent="0.35">
      <c r="A23">
        <f t="shared" ca="1" si="0"/>
        <v>0.1536151480798682</v>
      </c>
      <c r="B23">
        <f ca="1">RANK(A23,A1:A25)</f>
        <v>19</v>
      </c>
      <c r="C23">
        <v>23</v>
      </c>
      <c r="E23">
        <f t="shared" ca="1" si="1"/>
        <v>0.40274593655054514</v>
      </c>
      <c r="F23">
        <f ca="1">RANK(E23,E1:E25)</f>
        <v>17</v>
      </c>
      <c r="G23">
        <v>23</v>
      </c>
      <c r="I23">
        <f t="shared" ca="1" si="2"/>
        <v>0.62259728663733138</v>
      </c>
      <c r="J23">
        <f ca="1">RANK(I23,I1:I25)</f>
        <v>15</v>
      </c>
      <c r="K23">
        <v>23</v>
      </c>
      <c r="M23">
        <f t="shared" ca="1" si="3"/>
        <v>0.27531063268708156</v>
      </c>
      <c r="N23">
        <f ca="1">RANK(M23,M1:M25)</f>
        <v>21</v>
      </c>
      <c r="O23">
        <v>23</v>
      </c>
      <c r="Q23">
        <f t="shared" ca="1" si="4"/>
        <v>0.6033438273229913</v>
      </c>
      <c r="R23">
        <f ca="1">RANK(Q23,Q1:Q25)</f>
        <v>11</v>
      </c>
      <c r="S23">
        <v>23</v>
      </c>
      <c r="U23">
        <f t="shared" ca="1" si="5"/>
        <v>0.83664309541725923</v>
      </c>
      <c r="V23">
        <f ca="1">RANK(U23,U1:U25)</f>
        <v>6</v>
      </c>
      <c r="W23">
        <v>23</v>
      </c>
      <c r="Y23">
        <f t="shared" ca="1" si="6"/>
        <v>0.75615283067150219</v>
      </c>
      <c r="Z23">
        <f ca="1">RANK(Y23,Y1:Y25)</f>
        <v>8</v>
      </c>
      <c r="AA23">
        <v>23</v>
      </c>
      <c r="AC23">
        <f t="shared" ca="1" si="7"/>
        <v>0.39785369116186109</v>
      </c>
      <c r="AD23">
        <f ca="1">RANK(AC23,AC1:AC25)</f>
        <v>13</v>
      </c>
      <c r="AE23">
        <v>23</v>
      </c>
      <c r="AG23">
        <f t="shared" ca="1" si="8"/>
        <v>0.29058164530086938</v>
      </c>
      <c r="AH23">
        <f ca="1">RANK(AG23,AG1:AG25)</f>
        <v>21</v>
      </c>
      <c r="AI23">
        <v>23</v>
      </c>
      <c r="AK23">
        <f t="shared" ca="1" si="9"/>
        <v>0.96036363994667828</v>
      </c>
      <c r="AL23">
        <f ca="1">RANK(AK23,AK1:AK25)</f>
        <v>2</v>
      </c>
      <c r="AM23">
        <v>23</v>
      </c>
      <c r="AO23">
        <f t="shared" ca="1" si="10"/>
        <v>0.57095937560936327</v>
      </c>
      <c r="AP23">
        <f ca="1">RANK(AO23,AO1:AO25)</f>
        <v>11</v>
      </c>
      <c r="AQ23">
        <v>23</v>
      </c>
      <c r="AS23">
        <f t="shared" ca="1" si="11"/>
        <v>0.92063136372709198</v>
      </c>
      <c r="AT23">
        <f ca="1">RANK(AS23,AS1:AS25)</f>
        <v>2</v>
      </c>
      <c r="AU23">
        <v>23</v>
      </c>
    </row>
    <row r="24" spans="1:47" x14ac:dyDescent="0.35">
      <c r="A24">
        <f t="shared" ca="1" si="0"/>
        <v>0.5889122988611234</v>
      </c>
      <c r="B24">
        <f ca="1">RANK(A24,A1:A25)</f>
        <v>8</v>
      </c>
      <c r="C24">
        <v>24</v>
      </c>
      <c r="E24">
        <f t="shared" ca="1" si="1"/>
        <v>0.15089490535792704</v>
      </c>
      <c r="F24">
        <f ca="1">RANK(E24,E1:E25)</f>
        <v>22</v>
      </c>
      <c r="G24">
        <v>24</v>
      </c>
      <c r="I24">
        <f t="shared" ca="1" si="2"/>
        <v>0.58595121789856874</v>
      </c>
      <c r="J24">
        <f ca="1">RANK(I24,I1:I25)</f>
        <v>17</v>
      </c>
      <c r="K24">
        <v>24</v>
      </c>
      <c r="M24">
        <f t="shared" ca="1" si="3"/>
        <v>0.11957765796829101</v>
      </c>
      <c r="N24">
        <f ca="1">RANK(M24,M1:M25)</f>
        <v>24</v>
      </c>
      <c r="O24">
        <v>24</v>
      </c>
      <c r="Q24">
        <f t="shared" ca="1" si="4"/>
        <v>0.5132606640038988</v>
      </c>
      <c r="R24">
        <f ca="1">RANK(Q24,Q1:Q25)</f>
        <v>13</v>
      </c>
      <c r="S24">
        <v>24</v>
      </c>
      <c r="U24">
        <f t="shared" ca="1" si="5"/>
        <v>1.2188420216722506E-2</v>
      </c>
      <c r="V24">
        <f ca="1">RANK(U24,U1:U25)</f>
        <v>25</v>
      </c>
      <c r="W24">
        <v>24</v>
      </c>
      <c r="Y24">
        <f t="shared" ca="1" si="6"/>
        <v>0.78367745855697302</v>
      </c>
      <c r="Z24">
        <f ca="1">RANK(Y24,Y1:Y25)</f>
        <v>5</v>
      </c>
      <c r="AA24">
        <v>24</v>
      </c>
      <c r="AC24">
        <f t="shared" ca="1" si="7"/>
        <v>0.94661774883334282</v>
      </c>
      <c r="AD24">
        <f ca="1">RANK(AC24,AC1:AC25)</f>
        <v>2</v>
      </c>
      <c r="AE24">
        <v>24</v>
      </c>
      <c r="AG24">
        <f t="shared" ca="1" si="8"/>
        <v>0.40098585787593499</v>
      </c>
      <c r="AH24">
        <f ca="1">RANK(AG24,AG1:AG25)</f>
        <v>17</v>
      </c>
      <c r="AI24">
        <v>24</v>
      </c>
      <c r="AK24">
        <f t="shared" ca="1" si="9"/>
        <v>0.2258734327247699</v>
      </c>
      <c r="AL24">
        <f ca="1">RANK(AK24,AK1:AK25)</f>
        <v>20</v>
      </c>
      <c r="AM24">
        <v>24</v>
      </c>
      <c r="AO24">
        <f t="shared" ca="1" si="10"/>
        <v>0.18528761246261449</v>
      </c>
      <c r="AP24">
        <f ca="1">RANK(AO24,AO1:AO25)</f>
        <v>19</v>
      </c>
      <c r="AQ24">
        <v>24</v>
      </c>
      <c r="AS24">
        <f t="shared" ca="1" si="11"/>
        <v>0.73026711612830819</v>
      </c>
      <c r="AT24">
        <f ca="1">RANK(AS24,AS1:AS25)</f>
        <v>9</v>
      </c>
      <c r="AU24">
        <v>24</v>
      </c>
    </row>
    <row r="25" spans="1:47" x14ac:dyDescent="0.35">
      <c r="A25">
        <f t="shared" ca="1" si="0"/>
        <v>0.28957393717605695</v>
      </c>
      <c r="B25">
        <f ca="1">RANK(A25,A1:A25)</f>
        <v>15</v>
      </c>
      <c r="C25">
        <v>25</v>
      </c>
      <c r="E25">
        <f t="shared" ca="1" si="1"/>
        <v>0.5867154654754505</v>
      </c>
      <c r="F25">
        <f ca="1">RANK(E25,E1:E25)</f>
        <v>14</v>
      </c>
      <c r="G25">
        <v>25</v>
      </c>
      <c r="I25">
        <f t="shared" ca="1" si="2"/>
        <v>0.40958670356768401</v>
      </c>
      <c r="J25">
        <f ca="1">RANK(I25,I1:I25)</f>
        <v>20</v>
      </c>
      <c r="K25">
        <v>25</v>
      </c>
      <c r="M25">
        <f t="shared" ca="1" si="3"/>
        <v>0.67363114428179094</v>
      </c>
      <c r="N25">
        <f ca="1">RANK(M25,M1:M25)</f>
        <v>15</v>
      </c>
      <c r="O25">
        <v>25</v>
      </c>
      <c r="Q25">
        <f t="shared" ca="1" si="4"/>
        <v>0.87140872712947903</v>
      </c>
      <c r="R25">
        <f ca="1">RANK(Q25,Q1:Q25)</f>
        <v>4</v>
      </c>
      <c r="S25">
        <v>25</v>
      </c>
      <c r="U25">
        <f t="shared" ca="1" si="5"/>
        <v>0.31624233955214287</v>
      </c>
      <c r="V25">
        <f ca="1">RANK(U25,U1:U25)</f>
        <v>17</v>
      </c>
      <c r="W25">
        <v>25</v>
      </c>
      <c r="Y25">
        <f t="shared" ca="1" si="6"/>
        <v>0.25136709844389549</v>
      </c>
      <c r="Z25">
        <f ca="1">RANK(Y25,Y1:Y25)</f>
        <v>20</v>
      </c>
      <c r="AA25">
        <v>25</v>
      </c>
      <c r="AC25">
        <f t="shared" ca="1" si="7"/>
        <v>0.4871250059178508</v>
      </c>
      <c r="AD25">
        <f ca="1">RANK(AC25,AC1:AC25)</f>
        <v>10</v>
      </c>
      <c r="AE25">
        <v>25</v>
      </c>
      <c r="AG25">
        <f t="shared" ca="1" si="8"/>
        <v>0.77492449596867552</v>
      </c>
      <c r="AH25">
        <f ca="1">RANK(AG25,AG1:AG25)</f>
        <v>6</v>
      </c>
      <c r="AI25">
        <v>25</v>
      </c>
      <c r="AK25">
        <f t="shared" ca="1" si="9"/>
        <v>0.35225388565238624</v>
      </c>
      <c r="AL25">
        <f ca="1">RANK(AK25,AK1:AK25)</f>
        <v>19</v>
      </c>
      <c r="AM25">
        <v>25</v>
      </c>
      <c r="AO25">
        <f t="shared" ca="1" si="10"/>
        <v>2.6280931153920273E-2</v>
      </c>
      <c r="AP25">
        <f ca="1">RANK(AO25,AO1:AO25)</f>
        <v>25</v>
      </c>
      <c r="AQ25">
        <v>25</v>
      </c>
      <c r="AS25">
        <f t="shared" ca="1" si="11"/>
        <v>0.77924919496713063</v>
      </c>
      <c r="AT25">
        <f ca="1">RANK(AS25,AS1:AS25)</f>
        <v>7</v>
      </c>
      <c r="AU25">
        <v>25</v>
      </c>
    </row>
  </sheetData>
  <sortState ref="A1:B26">
    <sortCondition ref="B1:B26"/>
  </sortState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9"/>
  <sheetViews>
    <sheetView tabSelected="1" zoomScaleNormal="100" workbookViewId="0">
      <selection activeCell="AB10" sqref="AB10"/>
    </sheetView>
  </sheetViews>
  <sheetFormatPr defaultRowHeight="15.5" x14ac:dyDescent="0.35"/>
  <cols>
    <col min="1" max="1" width="1.6640625" customWidth="1"/>
    <col min="2" max="6" width="4.1640625" customWidth="1"/>
    <col min="7" max="7" width="1.6640625" customWidth="1"/>
    <col min="8" max="12" width="4.1640625" customWidth="1"/>
    <col min="13" max="13" width="1.6640625" customWidth="1"/>
    <col min="14" max="18" width="4.1640625" customWidth="1"/>
    <col min="19" max="19" width="1.6640625" customWidth="1"/>
    <col min="20" max="24" width="4.1640625" customWidth="1"/>
    <col min="25" max="25" width="1.6640625" customWidth="1"/>
  </cols>
  <sheetData>
    <row r="1" spans="1:25" ht="10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25" customHeight="1" x14ac:dyDescent="0.35">
      <c r="A2" s="1"/>
      <c r="B2" s="2">
        <f ca="1">VLOOKUP(1,'Bingo Source'!$B$1:$C$25,2,0)</f>
        <v>22</v>
      </c>
      <c r="C2" s="2">
        <f ca="1">VLOOKUP(2,'Bingo Source'!$B$1:$C$25,2,0)</f>
        <v>16</v>
      </c>
      <c r="D2" s="2">
        <f ca="1">VLOOKUP(3,'Bingo Source'!$B$1:$C$25,2,0)</f>
        <v>8</v>
      </c>
      <c r="E2" s="2">
        <f ca="1">VLOOKUP(4,'Bingo Source'!$B$1:$C$25,2,0)</f>
        <v>10</v>
      </c>
      <c r="F2" s="2">
        <f ca="1">VLOOKUP(5,'Bingo Source'!$B$1:$C$25,2,0)</f>
        <v>5</v>
      </c>
      <c r="G2" s="3"/>
      <c r="H2" s="2">
        <f ca="1">VLOOKUP(1,'Bingo Source'!$F$1:$G$25,2,0)</f>
        <v>17</v>
      </c>
      <c r="I2" s="2">
        <f ca="1">VLOOKUP(2,'Bingo Source'!$F$1:$G$25,2,0)</f>
        <v>13</v>
      </c>
      <c r="J2" s="2">
        <f ca="1">VLOOKUP(3,'Bingo Source'!$F$1:$G$25,2,0)</f>
        <v>6</v>
      </c>
      <c r="K2" s="2">
        <f ca="1">VLOOKUP(4,'Bingo Source'!$F$1:$G$25,2,0)</f>
        <v>18</v>
      </c>
      <c r="L2" s="2">
        <f ca="1">VLOOKUP(5,'Bingo Source'!$F$1:$G$25,2,0)</f>
        <v>7</v>
      </c>
      <c r="M2" s="1"/>
      <c r="N2" s="2">
        <f ca="1">VLOOKUP(1,'Bingo Source'!$J$1:$K$25,2,0)</f>
        <v>22</v>
      </c>
      <c r="O2" s="2">
        <f ca="1">VLOOKUP(2,'Bingo Source'!$J$1:$K$25,2,0)</f>
        <v>8</v>
      </c>
      <c r="P2" s="2">
        <f ca="1">VLOOKUP(3,'Bingo Source'!$J$1:$K$25,2,0)</f>
        <v>13</v>
      </c>
      <c r="Q2" s="2">
        <f ca="1">VLOOKUP(4,'Bingo Source'!$J$1:$K$25,2,0)</f>
        <v>9</v>
      </c>
      <c r="R2" s="2">
        <f ca="1">VLOOKUP(5,'Bingo Source'!$J$1:$K$25,2,0)</f>
        <v>18</v>
      </c>
      <c r="S2" s="1"/>
      <c r="T2" s="2">
        <f ca="1">VLOOKUP(1,'Bingo Source'!$N$1:$O$25,2,0)</f>
        <v>8</v>
      </c>
      <c r="U2" s="2">
        <f ca="1">VLOOKUP(2,'Bingo Source'!$N$1:$O$25,2,0)</f>
        <v>22</v>
      </c>
      <c r="V2" s="2">
        <f ca="1">VLOOKUP(3,'Bingo Source'!$N$1:$O$25,2,0)</f>
        <v>1</v>
      </c>
      <c r="W2" s="2">
        <f ca="1">VLOOKUP(4,'Bingo Source'!$N$1:$O$25,2,0)</f>
        <v>4</v>
      </c>
      <c r="X2" s="2">
        <f ca="1">VLOOKUP(5,'Bingo Source'!$N$1:$O$25,2,0)</f>
        <v>20</v>
      </c>
      <c r="Y2" s="1"/>
    </row>
    <row r="3" spans="1:25" ht="25" customHeight="1" x14ac:dyDescent="0.35">
      <c r="A3" s="1"/>
      <c r="B3" s="2">
        <f ca="1">VLOOKUP(6,'Bingo Source'!$B$1:$C$25,2,0)</f>
        <v>7</v>
      </c>
      <c r="C3" s="2">
        <f ca="1">VLOOKUP(7,'Bingo Source'!$B$1:$C$25,2,0)</f>
        <v>2</v>
      </c>
      <c r="D3" s="2">
        <f ca="1">VLOOKUP(8,'Bingo Source'!$B$1:$C$25,2,0)</f>
        <v>24</v>
      </c>
      <c r="E3" s="2">
        <f ca="1">VLOOKUP(9,'Bingo Source'!$B$1:$C$25,2,0)</f>
        <v>12</v>
      </c>
      <c r="F3" s="2">
        <f ca="1">VLOOKUP(10,'Bingo Source'!$B$1:$C$25,2,0)</f>
        <v>13</v>
      </c>
      <c r="G3" s="3"/>
      <c r="H3" s="2">
        <f ca="1">VLOOKUP(6,'Bingo Source'!$F$1:$G$25,2,0)</f>
        <v>8</v>
      </c>
      <c r="I3" s="2">
        <f ca="1">VLOOKUP(7,'Bingo Source'!$F$1:$G$25,2,0)</f>
        <v>5</v>
      </c>
      <c r="J3" s="2">
        <f ca="1">VLOOKUP(8,'Bingo Source'!$F$1:$G$25,2,0)</f>
        <v>9</v>
      </c>
      <c r="K3" s="2">
        <f ca="1">VLOOKUP(9,'Bingo Source'!$F$1:$G$25,2,0)</f>
        <v>4</v>
      </c>
      <c r="L3" s="2">
        <f ca="1">VLOOKUP(10,'Bingo Source'!$F$1:$G$25,2,0)</f>
        <v>3</v>
      </c>
      <c r="M3" s="1"/>
      <c r="N3" s="2">
        <f ca="1">VLOOKUP(6,'Bingo Source'!$J$1:$K$25,2,0)</f>
        <v>7</v>
      </c>
      <c r="O3" s="2">
        <f ca="1">VLOOKUP(7,'Bingo Source'!$J$1:$K$25,2,0)</f>
        <v>14</v>
      </c>
      <c r="P3" s="2">
        <f ca="1">VLOOKUP(8,'Bingo Source'!$J$1:$K$25,2,0)</f>
        <v>12</v>
      </c>
      <c r="Q3" s="2">
        <f ca="1">VLOOKUP(9,'Bingo Source'!$J$1:$K$25,2,0)</f>
        <v>11</v>
      </c>
      <c r="R3" s="2">
        <f ca="1">VLOOKUP(10,'Bingo Source'!$J$1:$K$25,2,0)</f>
        <v>16</v>
      </c>
      <c r="S3" s="1"/>
      <c r="T3" s="2">
        <f ca="1">VLOOKUP(6,'Bingo Source'!$N$1:$O$25,2,0)</f>
        <v>16</v>
      </c>
      <c r="U3" s="2">
        <f ca="1">VLOOKUP(7,'Bingo Source'!$N$1:$O$25,2,0)</f>
        <v>2</v>
      </c>
      <c r="V3" s="2">
        <f ca="1">VLOOKUP(8,'Bingo Source'!$N$1:$O$25,2,0)</f>
        <v>6</v>
      </c>
      <c r="W3" s="2">
        <f ca="1">VLOOKUP(9,'Bingo Source'!$N$1:$O$25,2,0)</f>
        <v>5</v>
      </c>
      <c r="X3" s="2">
        <f ca="1">VLOOKUP(10,'Bingo Source'!$N$1:$O$25,2,0)</f>
        <v>14</v>
      </c>
      <c r="Y3" s="1"/>
    </row>
    <row r="4" spans="1:25" ht="25" customHeight="1" x14ac:dyDescent="0.35">
      <c r="A4" s="1"/>
      <c r="B4" s="2">
        <f ca="1">VLOOKUP(11,'Bingo Source'!$B$1:$C$25,2,0)</f>
        <v>18</v>
      </c>
      <c r="C4" s="2">
        <f ca="1">VLOOKUP(12,'Bingo Source'!$B$1:$C$25,2,0)</f>
        <v>9</v>
      </c>
      <c r="D4" s="2">
        <f ca="1">VLOOKUP(13,'Bingo Source'!$B$1:$C$25,2,0)</f>
        <v>19</v>
      </c>
      <c r="E4" s="2">
        <f ca="1">VLOOKUP(14,'Bingo Source'!$B$1:$C$25,2,0)</f>
        <v>14</v>
      </c>
      <c r="F4" s="2">
        <f ca="1">VLOOKUP(15,'Bingo Source'!$B$1:$C$25,2,0)</f>
        <v>25</v>
      </c>
      <c r="G4" s="3"/>
      <c r="H4" s="2">
        <f ca="1">VLOOKUP(11,'Bingo Source'!$F$1:$G$25,2,0)</f>
        <v>16</v>
      </c>
      <c r="I4" s="2">
        <f ca="1">VLOOKUP(12,'Bingo Source'!$F$1:$G$25,2,0)</f>
        <v>20</v>
      </c>
      <c r="J4" s="2">
        <f ca="1">VLOOKUP(13,'Bingo Source'!$F$1:$G$25,2,0)</f>
        <v>10</v>
      </c>
      <c r="K4" s="2">
        <f ca="1">VLOOKUP(14,'Bingo Source'!$F$1:$G$25,2,0)</f>
        <v>25</v>
      </c>
      <c r="L4" s="2">
        <f ca="1">VLOOKUP(15,'Bingo Source'!$F$1:$G$25,2,0)</f>
        <v>15</v>
      </c>
      <c r="M4" s="1"/>
      <c r="N4" s="2">
        <f ca="1">VLOOKUP(11,'Bingo Source'!$J$1:$K$25,2,0)</f>
        <v>3</v>
      </c>
      <c r="O4" s="2">
        <f ca="1">VLOOKUP(12,'Bingo Source'!$J$1:$K$25,2,0)</f>
        <v>6</v>
      </c>
      <c r="P4" s="2">
        <f ca="1">VLOOKUP(13,'Bingo Source'!$J$1:$K$25,2,0)</f>
        <v>20</v>
      </c>
      <c r="Q4" s="2">
        <f ca="1">VLOOKUP(14,'Bingo Source'!$J$1:$K$25,2,0)</f>
        <v>17</v>
      </c>
      <c r="R4" s="2">
        <f ca="1">VLOOKUP(15,'Bingo Source'!$J$1:$K$25,2,0)</f>
        <v>23</v>
      </c>
      <c r="S4" s="1"/>
      <c r="T4" s="2">
        <f ca="1">VLOOKUP(11,'Bingo Source'!$N$1:$O$25,2,0)</f>
        <v>18</v>
      </c>
      <c r="U4" s="2">
        <f ca="1">VLOOKUP(12,'Bingo Source'!$N$1:$O$25,2,0)</f>
        <v>17</v>
      </c>
      <c r="V4" s="2">
        <f ca="1">VLOOKUP(13,'Bingo Source'!$N$1:$O$25,2,0)</f>
        <v>3</v>
      </c>
      <c r="W4" s="2">
        <f ca="1">VLOOKUP(14,'Bingo Source'!$N$1:$O$25,2,0)</f>
        <v>12</v>
      </c>
      <c r="X4" s="2">
        <f ca="1">VLOOKUP(15,'Bingo Source'!$N$1:$O$25,2,0)</f>
        <v>25</v>
      </c>
      <c r="Y4" s="1"/>
    </row>
    <row r="5" spans="1:25" ht="25" customHeight="1" x14ac:dyDescent="0.35">
      <c r="A5" s="1"/>
      <c r="B5" s="2">
        <f ca="1">VLOOKUP(16,'Bingo Source'!$B$1:$C$25,2,0)</f>
        <v>21</v>
      </c>
      <c r="C5" s="2">
        <f ca="1">VLOOKUP(17,'Bingo Source'!$B$1:$C$25,2,0)</f>
        <v>17</v>
      </c>
      <c r="D5" s="2">
        <f ca="1">VLOOKUP(18,'Bingo Source'!$B$1:$C$25,2,0)</f>
        <v>20</v>
      </c>
      <c r="E5" s="2">
        <f ca="1">VLOOKUP(19,'Bingo Source'!$B$1:$C$25,2,0)</f>
        <v>23</v>
      </c>
      <c r="F5" s="2">
        <f ca="1">VLOOKUP(20,'Bingo Source'!$B$1:$C$25,2,0)</f>
        <v>4</v>
      </c>
      <c r="G5" s="3"/>
      <c r="H5" s="2">
        <f ca="1">VLOOKUP(16,'Bingo Source'!$F$1:$G$25,2,0)</f>
        <v>22</v>
      </c>
      <c r="I5" s="2">
        <f ca="1">VLOOKUP(17,'Bingo Source'!$F$1:$G$25,2,0)</f>
        <v>23</v>
      </c>
      <c r="J5" s="2">
        <f ca="1">VLOOKUP(18,'Bingo Source'!$F$1:$G$25,2,0)</f>
        <v>21</v>
      </c>
      <c r="K5" s="2">
        <f ca="1">VLOOKUP(19,'Bingo Source'!$F$1:$G$25,2,0)</f>
        <v>12</v>
      </c>
      <c r="L5" s="2">
        <f ca="1">VLOOKUP(20,'Bingo Source'!$F$1:$G$25,2,0)</f>
        <v>19</v>
      </c>
      <c r="M5" s="1"/>
      <c r="N5" s="2">
        <f ca="1">VLOOKUP(16,'Bingo Source'!$J$1:$K$25,2,0)</f>
        <v>1</v>
      </c>
      <c r="O5" s="2">
        <f ca="1">VLOOKUP(17,'Bingo Source'!$J$1:$K$25,2,0)</f>
        <v>24</v>
      </c>
      <c r="P5" s="2">
        <f ca="1">VLOOKUP(18,'Bingo Source'!$J$1:$K$25,2,0)</f>
        <v>15</v>
      </c>
      <c r="Q5" s="2">
        <f ca="1">VLOOKUP(19,'Bingo Source'!$J$1:$K$25,2,0)</f>
        <v>19</v>
      </c>
      <c r="R5" s="2">
        <f ca="1">VLOOKUP(20,'Bingo Source'!$J$1:$K$25,2,0)</f>
        <v>25</v>
      </c>
      <c r="S5" s="1"/>
      <c r="T5" s="2">
        <f ca="1">VLOOKUP(16,'Bingo Source'!$N$1:$O$25,2,0)</f>
        <v>10</v>
      </c>
      <c r="U5" s="2">
        <f ca="1">VLOOKUP(17,'Bingo Source'!$N$1:$O$25,2,0)</f>
        <v>13</v>
      </c>
      <c r="V5" s="2">
        <f ca="1">VLOOKUP(18,'Bingo Source'!$N$1:$O$25,2,0)</f>
        <v>7</v>
      </c>
      <c r="W5" s="2">
        <f ca="1">VLOOKUP(19,'Bingo Source'!$N$1:$O$25,2,0)</f>
        <v>15</v>
      </c>
      <c r="X5" s="2">
        <f ca="1">VLOOKUP(20,'Bingo Source'!$N$1:$O$25,2,0)</f>
        <v>19</v>
      </c>
      <c r="Y5" s="1"/>
    </row>
    <row r="6" spans="1:25" ht="25" customHeight="1" x14ac:dyDescent="0.35">
      <c r="A6" s="1"/>
      <c r="B6" s="2">
        <f ca="1">VLOOKUP(21,'Bingo Source'!$B$1:$C$25,2,0)</f>
        <v>3</v>
      </c>
      <c r="C6" s="2">
        <f ca="1">VLOOKUP(22,'Bingo Source'!$B$1:$C$25,2,0)</f>
        <v>6</v>
      </c>
      <c r="D6" s="2">
        <f ca="1">VLOOKUP(23,'Bingo Source'!$B$1:$C$25,2,0)</f>
        <v>11</v>
      </c>
      <c r="E6" s="2">
        <f ca="1">VLOOKUP(24,'Bingo Source'!$B$1:$C$25,2,0)</f>
        <v>1</v>
      </c>
      <c r="F6" s="2">
        <f ca="1">VLOOKUP(25,'Bingo Source'!$B$1:$C$25,2,0)</f>
        <v>15</v>
      </c>
      <c r="G6" s="3"/>
      <c r="H6" s="2">
        <f ca="1">VLOOKUP(21,'Bingo Source'!$F$1:$G$25,2,0)</f>
        <v>11</v>
      </c>
      <c r="I6" s="2">
        <f ca="1">VLOOKUP(22,'Bingo Source'!$F$1:$G$25,2,0)</f>
        <v>24</v>
      </c>
      <c r="J6" s="2">
        <f ca="1">VLOOKUP(23,'Bingo Source'!$F$1:$G$25,2,0)</f>
        <v>1</v>
      </c>
      <c r="K6" s="2">
        <f ca="1">VLOOKUP(24,'Bingo Source'!$F$1:$G$25,2,0)</f>
        <v>2</v>
      </c>
      <c r="L6" s="2">
        <f ca="1">VLOOKUP(25,'Bingo Source'!$F$1:$G$25,2,0)</f>
        <v>14</v>
      </c>
      <c r="M6" s="1"/>
      <c r="N6" s="2">
        <f ca="1">VLOOKUP(21,'Bingo Source'!$J$1:$K$25,2,0)</f>
        <v>21</v>
      </c>
      <c r="O6" s="2">
        <f ca="1">VLOOKUP(22,'Bingo Source'!$J$1:$K$25,2,0)</f>
        <v>2</v>
      </c>
      <c r="P6" s="2">
        <f ca="1">VLOOKUP(23,'Bingo Source'!$J$1:$K$25,2,0)</f>
        <v>5</v>
      </c>
      <c r="Q6" s="2">
        <f ca="1">VLOOKUP(24,'Bingo Source'!$J$1:$K$25,2,0)</f>
        <v>4</v>
      </c>
      <c r="R6" s="2">
        <f ca="1">VLOOKUP(25,'Bingo Source'!$J$1:$K$25,2,0)</f>
        <v>10</v>
      </c>
      <c r="S6" s="1"/>
      <c r="T6" s="2">
        <f ca="1">VLOOKUP(21,'Bingo Source'!$N$1:$O$25,2,0)</f>
        <v>23</v>
      </c>
      <c r="U6" s="2">
        <f ca="1">VLOOKUP(22,'Bingo Source'!$N$1:$O$25,2,0)</f>
        <v>21</v>
      </c>
      <c r="V6" s="2">
        <f ca="1">VLOOKUP(23,'Bingo Source'!$N$1:$O$25,2,0)</f>
        <v>11</v>
      </c>
      <c r="W6" s="2">
        <f ca="1">VLOOKUP(24,'Bingo Source'!$N$1:$O$25,2,0)</f>
        <v>24</v>
      </c>
      <c r="X6" s="2">
        <f ca="1">VLOOKUP(25,'Bingo Source'!$N$1:$O$25,2,0)</f>
        <v>9</v>
      </c>
      <c r="Y6" s="1"/>
    </row>
    <row r="7" spans="1:25" ht="10" customHeight="1" x14ac:dyDescent="0.35">
      <c r="A7" s="1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25" customHeight="1" x14ac:dyDescent="0.35">
      <c r="A8" s="1"/>
      <c r="B8" s="2">
        <f ca="1">VLOOKUP(1,'Bingo Source'!$R$1:$S$25,2,0)</f>
        <v>3</v>
      </c>
      <c r="C8" s="2">
        <f ca="1">VLOOKUP(2,'Bingo Source'!$R$1:$S$25,2,0)</f>
        <v>1</v>
      </c>
      <c r="D8" s="2">
        <f ca="1">VLOOKUP(3,'Bingo Source'!$R$1:$S$25,2,0)</f>
        <v>22</v>
      </c>
      <c r="E8" s="2">
        <f ca="1">VLOOKUP(4,'Bingo Source'!$R$1:$S$25,2,0)</f>
        <v>25</v>
      </c>
      <c r="F8" s="2">
        <f ca="1">VLOOKUP(5,'Bingo Source'!$R$1:$S$25,2,0)</f>
        <v>14</v>
      </c>
      <c r="G8" s="3"/>
      <c r="H8" s="2">
        <f ca="1">VLOOKUP(1,'Bingo Source'!$V$1:$W$25,2,0)</f>
        <v>12</v>
      </c>
      <c r="I8" s="2">
        <f ca="1">VLOOKUP(2,'Bingo Source'!$V$1:$W$25,2,0)</f>
        <v>9</v>
      </c>
      <c r="J8" s="2">
        <f ca="1">VLOOKUP(3,'Bingo Source'!$V$1:$W$25,2,0)</f>
        <v>7</v>
      </c>
      <c r="K8" s="2">
        <f ca="1">VLOOKUP(4,'Bingo Source'!$V$1:$W$25,2,0)</f>
        <v>11</v>
      </c>
      <c r="L8" s="2">
        <f ca="1">VLOOKUP(5,'Bingo Source'!$V$1:$W$25,2,0)</f>
        <v>1</v>
      </c>
      <c r="M8" s="1"/>
      <c r="N8" s="2">
        <f ca="1">VLOOKUP(1,'Bingo Source'!$Z$1:$AA$25,2,0)</f>
        <v>4</v>
      </c>
      <c r="O8" s="2">
        <f ca="1">VLOOKUP(2,'Bingo Source'!$Z$1:$AA$25,2,0)</f>
        <v>5</v>
      </c>
      <c r="P8" s="2">
        <f ca="1">VLOOKUP(3,'Bingo Source'!$Z$1:$AA$25,2,0)</f>
        <v>19</v>
      </c>
      <c r="Q8" s="2">
        <f ca="1">VLOOKUP(4,'Bingo Source'!$Z$1:$AA$25,2,0)</f>
        <v>16</v>
      </c>
      <c r="R8" s="2">
        <f ca="1">VLOOKUP(5,'Bingo Source'!$Z$1:$AA$25,2,0)</f>
        <v>24</v>
      </c>
      <c r="S8" s="1"/>
      <c r="T8" s="2">
        <f ca="1">VLOOKUP(1,'Bingo Source'!$AD$1:$AE$25,2,0)</f>
        <v>13</v>
      </c>
      <c r="U8" s="2">
        <f ca="1">VLOOKUP(2,'Bingo Source'!$AD$1:$AE$25,2,0)</f>
        <v>24</v>
      </c>
      <c r="V8" s="2">
        <f ca="1">VLOOKUP(3,'Bingo Source'!$AD$1:$AE$25,2,0)</f>
        <v>1</v>
      </c>
      <c r="W8" s="2">
        <f ca="1">VLOOKUP(4,'Bingo Source'!$AD$1:$AE$25,2,0)</f>
        <v>8</v>
      </c>
      <c r="X8" s="2">
        <f ca="1">VLOOKUP(5,'Bingo Source'!$AD$1:$AE$25,2,0)</f>
        <v>10</v>
      </c>
      <c r="Y8" s="1"/>
    </row>
    <row r="9" spans="1:25" ht="25" customHeight="1" x14ac:dyDescent="0.35">
      <c r="A9" s="1"/>
      <c r="B9" s="2">
        <f ca="1">VLOOKUP(6,'Bingo Source'!$R$1:$S$25,2,0)</f>
        <v>18</v>
      </c>
      <c r="C9" s="2">
        <f ca="1">VLOOKUP(7,'Bingo Source'!$R$1:$S$25,2,0)</f>
        <v>12</v>
      </c>
      <c r="D9" s="2">
        <f ca="1">VLOOKUP(8,'Bingo Source'!$R$1:$S$25,2,0)</f>
        <v>20</v>
      </c>
      <c r="E9" s="2">
        <f ca="1">VLOOKUP(9,'Bingo Source'!$R$1:$S$25,2,0)</f>
        <v>13</v>
      </c>
      <c r="F9" s="2">
        <f ca="1">VLOOKUP(10,'Bingo Source'!$R$1:$S$25,2,0)</f>
        <v>4</v>
      </c>
      <c r="G9" s="3"/>
      <c r="H9" s="2">
        <f ca="1">VLOOKUP(6,'Bingo Source'!$V$1:$W$25,2,0)</f>
        <v>23</v>
      </c>
      <c r="I9" s="2">
        <f ca="1">VLOOKUP(7,'Bingo Source'!$V$1:$W$25,2,0)</f>
        <v>8</v>
      </c>
      <c r="J9" s="2">
        <f ca="1">VLOOKUP(8,'Bingo Source'!$V$1:$W$25,2,0)</f>
        <v>3</v>
      </c>
      <c r="K9" s="2">
        <f ca="1">VLOOKUP(9,'Bingo Source'!$V$1:$W$25,2,0)</f>
        <v>22</v>
      </c>
      <c r="L9" s="2">
        <f ca="1">VLOOKUP(10,'Bingo Source'!$V$1:$W$25,2,0)</f>
        <v>10</v>
      </c>
      <c r="M9" s="1"/>
      <c r="N9" s="2">
        <f ca="1">VLOOKUP(6,'Bingo Source'!$Z$1:$AA$25,2,0)</f>
        <v>21</v>
      </c>
      <c r="O9" s="2">
        <f ca="1">VLOOKUP(7,'Bingo Source'!$Z$1:$AA$25,2,0)</f>
        <v>20</v>
      </c>
      <c r="P9" s="2">
        <f ca="1">VLOOKUP(8,'Bingo Source'!$Z$1:$AA$25,2,0)</f>
        <v>23</v>
      </c>
      <c r="Q9" s="2">
        <f ca="1">VLOOKUP(9,'Bingo Source'!$Z$1:$AA$25,2,0)</f>
        <v>14</v>
      </c>
      <c r="R9" s="2">
        <f ca="1">VLOOKUP(10,'Bingo Source'!$Z$1:$AA$25,2,0)</f>
        <v>15</v>
      </c>
      <c r="S9" s="1"/>
      <c r="T9" s="2">
        <f ca="1">VLOOKUP(6,'Bingo Source'!$AD$1:$AE$25,2,0)</f>
        <v>2</v>
      </c>
      <c r="U9" s="2">
        <f ca="1">VLOOKUP(7,'Bingo Source'!$AD$1:$AE$25,2,0)</f>
        <v>7</v>
      </c>
      <c r="V9" s="2">
        <f ca="1">VLOOKUP(8,'Bingo Source'!$AD$1:$AE$25,2,0)</f>
        <v>3</v>
      </c>
      <c r="W9" s="2">
        <f ca="1">VLOOKUP(9,'Bingo Source'!$AD$1:$AE$25,2,0)</f>
        <v>19</v>
      </c>
      <c r="X9" s="2">
        <f ca="1">VLOOKUP(10,'Bingo Source'!$AD$1:$AE$25,2,0)</f>
        <v>25</v>
      </c>
      <c r="Y9" s="1"/>
    </row>
    <row r="10" spans="1:25" ht="25" customHeight="1" x14ac:dyDescent="0.35">
      <c r="A10" s="1"/>
      <c r="B10" s="2">
        <f ca="1">VLOOKUP(11,'Bingo Source'!$R$1:$S$25,2,0)</f>
        <v>23</v>
      </c>
      <c r="C10" s="2">
        <f ca="1">VLOOKUP(12,'Bingo Source'!$R$1:$S$25,2,0)</f>
        <v>6</v>
      </c>
      <c r="D10" s="2">
        <f ca="1">VLOOKUP(13,'Bingo Source'!$R$1:$S$25,2,0)</f>
        <v>24</v>
      </c>
      <c r="E10" s="2">
        <f ca="1">VLOOKUP(14,'Bingo Source'!$R$1:$S$25,2,0)</f>
        <v>2</v>
      </c>
      <c r="F10" s="2">
        <f ca="1">VLOOKUP(15,'Bingo Source'!$R$1:$S$25,2,0)</f>
        <v>15</v>
      </c>
      <c r="G10" s="3"/>
      <c r="H10" s="2">
        <f ca="1">VLOOKUP(11,'Bingo Source'!$V$1:$W$25,2,0)</f>
        <v>14</v>
      </c>
      <c r="I10" s="2">
        <f ca="1">VLOOKUP(12,'Bingo Source'!$V$1:$W$25,2,0)</f>
        <v>16</v>
      </c>
      <c r="J10" s="2">
        <f ca="1">VLOOKUP(13,'Bingo Source'!$V$1:$W$25,2,0)</f>
        <v>15</v>
      </c>
      <c r="K10" s="2">
        <f ca="1">VLOOKUP(14,'Bingo Source'!$V$1:$W$25,2,0)</f>
        <v>18</v>
      </c>
      <c r="L10" s="2">
        <f ca="1">VLOOKUP(15,'Bingo Source'!$V$1:$W$25,2,0)</f>
        <v>5</v>
      </c>
      <c r="M10" s="1"/>
      <c r="N10" s="2">
        <f ca="1">VLOOKUP(11,'Bingo Source'!$Z$1:$AA$25,2,0)</f>
        <v>2</v>
      </c>
      <c r="O10" s="2">
        <f ca="1">VLOOKUP(12,'Bingo Source'!$Z$1:$AA$25,2,0)</f>
        <v>12</v>
      </c>
      <c r="P10" s="2">
        <f ca="1">VLOOKUP(13,'Bingo Source'!$Z$1:$AA$25,2,0)</f>
        <v>18</v>
      </c>
      <c r="Q10" s="2">
        <f ca="1">VLOOKUP(14,'Bingo Source'!$Z$1:$AA$25,2,0)</f>
        <v>17</v>
      </c>
      <c r="R10" s="2">
        <f ca="1">VLOOKUP(15,'Bingo Source'!$Z$1:$AA$25,2,0)</f>
        <v>6</v>
      </c>
      <c r="S10" s="1"/>
      <c r="T10" s="2">
        <f ca="1">VLOOKUP(11,'Bingo Source'!$AD$1:$AE$25,2,0)</f>
        <v>22</v>
      </c>
      <c r="U10" s="2">
        <f ca="1">VLOOKUP(12,'Bingo Source'!$AD$1:$AE$25,2,0)</f>
        <v>16</v>
      </c>
      <c r="V10" s="2">
        <f ca="1">VLOOKUP(13,'Bingo Source'!$AD$1:$AE$25,2,0)</f>
        <v>23</v>
      </c>
      <c r="W10" s="2">
        <f ca="1">VLOOKUP(14,'Bingo Source'!$AD$1:$AE$25,2,0)</f>
        <v>14</v>
      </c>
      <c r="X10" s="2">
        <f ca="1">VLOOKUP(15,'Bingo Source'!$AD$1:$AE$25,2,0)</f>
        <v>11</v>
      </c>
      <c r="Y10" s="1"/>
    </row>
    <row r="11" spans="1:25" ht="25" customHeight="1" x14ac:dyDescent="0.35">
      <c r="A11" s="1"/>
      <c r="B11" s="2">
        <f ca="1">VLOOKUP(16,'Bingo Source'!$R$1:$S$25,2,0)</f>
        <v>17</v>
      </c>
      <c r="C11" s="2">
        <f ca="1">VLOOKUP(17,'Bingo Source'!$R$1:$S$25,2,0)</f>
        <v>5</v>
      </c>
      <c r="D11" s="2">
        <f ca="1">VLOOKUP(18,'Bingo Source'!$R$1:$S$25,2,0)</f>
        <v>16</v>
      </c>
      <c r="E11" s="2">
        <f ca="1">VLOOKUP(19,'Bingo Source'!$R$1:$S$25,2,0)</f>
        <v>8</v>
      </c>
      <c r="F11" s="2">
        <f ca="1">VLOOKUP(20,'Bingo Source'!$R$1:$S$25,2,0)</f>
        <v>10</v>
      </c>
      <c r="G11" s="3"/>
      <c r="H11" s="2">
        <f ca="1">VLOOKUP(16,'Bingo Source'!$V$1:$W$25,2,0)</f>
        <v>2</v>
      </c>
      <c r="I11" s="2">
        <f ca="1">VLOOKUP(17,'Bingo Source'!$V$1:$W$25,2,0)</f>
        <v>25</v>
      </c>
      <c r="J11" s="2">
        <f ca="1">VLOOKUP(18,'Bingo Source'!$V$1:$W$25,2,0)</f>
        <v>4</v>
      </c>
      <c r="K11" s="2">
        <f ca="1">VLOOKUP(19,'Bingo Source'!$V$1:$W$25,2,0)</f>
        <v>21</v>
      </c>
      <c r="L11" s="2">
        <f ca="1">VLOOKUP(20,'Bingo Source'!$V$1:$W$25,2,0)</f>
        <v>19</v>
      </c>
      <c r="M11" s="1"/>
      <c r="N11" s="2">
        <f ca="1">VLOOKUP(16,'Bingo Source'!$Z$1:$AA$25,2,0)</f>
        <v>10</v>
      </c>
      <c r="O11" s="2">
        <f ca="1">VLOOKUP(17,'Bingo Source'!$Z$1:$AA$25,2,0)</f>
        <v>13</v>
      </c>
      <c r="P11" s="2">
        <f ca="1">VLOOKUP(18,'Bingo Source'!$Z$1:$AA$25,2,0)</f>
        <v>1</v>
      </c>
      <c r="Q11" s="2">
        <f ca="1">VLOOKUP(19,'Bingo Source'!$Z$1:$AA$25,2,0)</f>
        <v>11</v>
      </c>
      <c r="R11" s="2">
        <f ca="1">VLOOKUP(20,'Bingo Source'!$Z$1:$AA$25,2,0)</f>
        <v>25</v>
      </c>
      <c r="S11" s="1"/>
      <c r="T11" s="2">
        <f ca="1">VLOOKUP(16,'Bingo Source'!$AD$1:$AE$25,2,0)</f>
        <v>6</v>
      </c>
      <c r="U11" s="2">
        <f ca="1">VLOOKUP(17,'Bingo Source'!$AD$1:$AE$25,2,0)</f>
        <v>17</v>
      </c>
      <c r="V11" s="2">
        <f ca="1">VLOOKUP(18,'Bingo Source'!$AD$1:$AE$25,2,0)</f>
        <v>20</v>
      </c>
      <c r="W11" s="2">
        <f ca="1">VLOOKUP(19,'Bingo Source'!$AD$1:$AE$25,2,0)</f>
        <v>5</v>
      </c>
      <c r="X11" s="2">
        <f ca="1">VLOOKUP(20,'Bingo Source'!$AD$1:$AE$25,2,0)</f>
        <v>4</v>
      </c>
      <c r="Y11" s="1"/>
    </row>
    <row r="12" spans="1:25" ht="25" customHeight="1" x14ac:dyDescent="0.35">
      <c r="A12" s="1"/>
      <c r="B12" s="2">
        <f ca="1">VLOOKUP(21,'Bingo Source'!$R$1:$S$25,2,0)</f>
        <v>21</v>
      </c>
      <c r="C12" s="2">
        <f ca="1">VLOOKUP(22,'Bingo Source'!$R$1:$S$25,2,0)</f>
        <v>9</v>
      </c>
      <c r="D12" s="2">
        <f ca="1">VLOOKUP(23,'Bingo Source'!$R$1:$S$25,2,0)</f>
        <v>7</v>
      </c>
      <c r="E12" s="2">
        <f ca="1">VLOOKUP(24,'Bingo Source'!$R$1:$S$25,2,0)</f>
        <v>11</v>
      </c>
      <c r="F12" s="2">
        <f ca="1">VLOOKUP(25,'Bingo Source'!$R$1:$S$25,2,0)</f>
        <v>19</v>
      </c>
      <c r="G12" s="3"/>
      <c r="H12" s="2">
        <f ca="1">VLOOKUP(21,'Bingo Source'!$V$1:$W$25,2,0)</f>
        <v>13</v>
      </c>
      <c r="I12" s="2">
        <f ca="1">VLOOKUP(22,'Bingo Source'!$V$1:$W$25,2,0)</f>
        <v>17</v>
      </c>
      <c r="J12" s="2">
        <f ca="1">VLOOKUP(23,'Bingo Source'!$V$1:$W$25,2,0)</f>
        <v>20</v>
      </c>
      <c r="K12" s="2">
        <f ca="1">VLOOKUP(24,'Bingo Source'!$V$1:$W$25,2,0)</f>
        <v>6</v>
      </c>
      <c r="L12" s="2">
        <f ca="1">VLOOKUP(25,'Bingo Source'!$V$1:$W$25,2,0)</f>
        <v>24</v>
      </c>
      <c r="M12" s="1"/>
      <c r="N12" s="2">
        <f ca="1">VLOOKUP(21,'Bingo Source'!$Z$1:$AA$25,2,0)</f>
        <v>9</v>
      </c>
      <c r="O12" s="2">
        <f ca="1">VLOOKUP(22,'Bingo Source'!$Z$1:$AA$25,2,0)</f>
        <v>3</v>
      </c>
      <c r="P12" s="2">
        <f ca="1">VLOOKUP(23,'Bingo Source'!$Z$1:$AA$25,2,0)</f>
        <v>22</v>
      </c>
      <c r="Q12" s="2">
        <f ca="1">VLOOKUP(24,'Bingo Source'!$Z$1:$AA$25,2,0)</f>
        <v>8</v>
      </c>
      <c r="R12" s="2">
        <f ca="1">VLOOKUP(25,'Bingo Source'!$Z$1:$AA$25,2,0)</f>
        <v>7</v>
      </c>
      <c r="S12" s="1"/>
      <c r="T12" s="2">
        <f ca="1">VLOOKUP(21,'Bingo Source'!$AD$1:$AE$25,2,0)</f>
        <v>12</v>
      </c>
      <c r="U12" s="2">
        <f ca="1">VLOOKUP(22,'Bingo Source'!$AD$1:$AE$25,2,0)</f>
        <v>18</v>
      </c>
      <c r="V12" s="2">
        <f ca="1">VLOOKUP(23,'Bingo Source'!$AD$1:$AE$25,2,0)</f>
        <v>15</v>
      </c>
      <c r="W12" s="2">
        <f ca="1">VLOOKUP(24,'Bingo Source'!$AD$1:$AE$25,2,0)</f>
        <v>21</v>
      </c>
      <c r="X12" s="2">
        <f ca="1">VLOOKUP(25,'Bingo Source'!$AD$1:$AE$25,2,0)</f>
        <v>9</v>
      </c>
      <c r="Y12" s="1"/>
    </row>
    <row r="13" spans="1:25" ht="10" customHeight="1" x14ac:dyDescent="0.35">
      <c r="A13" s="1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1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1"/>
    </row>
    <row r="14" spans="1:25" ht="25" customHeight="1" x14ac:dyDescent="0.35">
      <c r="A14" s="1"/>
      <c r="B14" s="2">
        <f ca="1">VLOOKUP(1,'Bingo Source'!$AH$1:$AI$25,2,0)</f>
        <v>14</v>
      </c>
      <c r="C14" s="2">
        <f ca="1">VLOOKUP(2,'Bingo Source'!$AH$1:$AI$25,2,0)</f>
        <v>4</v>
      </c>
      <c r="D14" s="2">
        <f ca="1">VLOOKUP(3,'Bingo Source'!$AH$1:$AI$25,2,0)</f>
        <v>12</v>
      </c>
      <c r="E14" s="2">
        <f ca="1">VLOOKUP(4,'Bingo Source'!$AH$1:$AI$25,2,0)</f>
        <v>18</v>
      </c>
      <c r="F14" s="2">
        <f ca="1">VLOOKUP(5,'Bingo Source'!$AH$1:$AI$25,2,0)</f>
        <v>3</v>
      </c>
      <c r="G14" s="3"/>
      <c r="H14" s="2">
        <f ca="1">VLOOKUP(1,'Bingo Source'!$AL$1:$AM$25,2,0)</f>
        <v>20</v>
      </c>
      <c r="I14" s="2">
        <f ca="1">VLOOKUP(2,'Bingo Source'!$AL$1:$AM$25,2,0)</f>
        <v>23</v>
      </c>
      <c r="J14" s="2">
        <f ca="1">VLOOKUP(3,'Bingo Source'!$AL$1:$AM$25,2,0)</f>
        <v>2</v>
      </c>
      <c r="K14" s="2">
        <f ca="1">VLOOKUP(4,'Bingo Source'!$AL$1:$AM$25,2,0)</f>
        <v>12</v>
      </c>
      <c r="L14" s="2">
        <f ca="1">VLOOKUP(5,'Bingo Source'!$AL$1:$AM$25,2,0)</f>
        <v>9</v>
      </c>
      <c r="M14" s="1"/>
      <c r="N14" s="2">
        <f ca="1">VLOOKUP(1,'Bingo Source'!$AP$1:$AQ$25,2,0)</f>
        <v>21</v>
      </c>
      <c r="O14" s="2">
        <f ca="1">VLOOKUP(2,'Bingo Source'!$AP$1:$AQ$25,2,0)</f>
        <v>13</v>
      </c>
      <c r="P14" s="2">
        <f ca="1">VLOOKUP(3,'Bingo Source'!$AP$1:$AQ$25,2,0)</f>
        <v>8</v>
      </c>
      <c r="Q14" s="2">
        <f ca="1">VLOOKUP(4,'Bingo Source'!$AP$1:$AQ$25,2,0)</f>
        <v>9</v>
      </c>
      <c r="R14" s="2">
        <f ca="1">VLOOKUP(5,'Bingo Source'!$AP$1:$AQ$25,2,0)</f>
        <v>17</v>
      </c>
      <c r="S14" s="1"/>
      <c r="T14" s="2">
        <f ca="1">VLOOKUP(1,'Bingo Source'!$AT$1:$AU$25,2,0)</f>
        <v>13</v>
      </c>
      <c r="U14" s="2">
        <f ca="1">VLOOKUP(2,'Bingo Source'!$AT$1:$AU$25,2,0)</f>
        <v>23</v>
      </c>
      <c r="V14" s="2">
        <f ca="1">VLOOKUP(3,'Bingo Source'!$AT$1:$AU$25,2,0)</f>
        <v>1</v>
      </c>
      <c r="W14" s="2">
        <f ca="1">VLOOKUP(4,'Bingo Source'!$AT$1:$AU$25,2,0)</f>
        <v>22</v>
      </c>
      <c r="X14" s="2">
        <f ca="1">VLOOKUP(5,'Bingo Source'!$AT$1:$AU$25,2,0)</f>
        <v>8</v>
      </c>
      <c r="Y14" s="1"/>
    </row>
    <row r="15" spans="1:25" ht="25" customHeight="1" x14ac:dyDescent="0.35">
      <c r="A15" s="1"/>
      <c r="B15" s="2">
        <f ca="1">VLOOKUP(6,'Bingo Source'!$AH$1:$AI$25,2,0)</f>
        <v>25</v>
      </c>
      <c r="C15" s="2">
        <f ca="1">VLOOKUP(7,'Bingo Source'!$AH$1:$AI$25,2,0)</f>
        <v>19</v>
      </c>
      <c r="D15" s="2">
        <f ca="1">VLOOKUP(8,'Bingo Source'!$AH$1:$AI$25,2,0)</f>
        <v>15</v>
      </c>
      <c r="E15" s="2">
        <f ca="1">VLOOKUP(9,'Bingo Source'!$AH$1:$AI$25,2,0)</f>
        <v>17</v>
      </c>
      <c r="F15" s="2">
        <f ca="1">VLOOKUP(10,'Bingo Source'!$AH$1:$AI$25,2,0)</f>
        <v>7</v>
      </c>
      <c r="G15" s="3"/>
      <c r="H15" s="2">
        <f ca="1">VLOOKUP(6,'Bingo Source'!$AL$1:$AM$25,2,0)</f>
        <v>21</v>
      </c>
      <c r="I15" s="2">
        <f ca="1">VLOOKUP(7,'Bingo Source'!$AL$1:$AM$25,2,0)</f>
        <v>13</v>
      </c>
      <c r="J15" s="2">
        <f ca="1">VLOOKUP(8,'Bingo Source'!$AL$1:$AM$25,2,0)</f>
        <v>4</v>
      </c>
      <c r="K15" s="2">
        <f ca="1">VLOOKUP(9,'Bingo Source'!$AL$1:$AM$25,2,0)</f>
        <v>19</v>
      </c>
      <c r="L15" s="2">
        <f ca="1">VLOOKUP(10,'Bingo Source'!$AL$1:$AM$25,2,0)</f>
        <v>22</v>
      </c>
      <c r="M15" s="1"/>
      <c r="N15" s="2">
        <f ca="1">VLOOKUP(6,'Bingo Source'!$AP$1:$AQ$25,2,0)</f>
        <v>6</v>
      </c>
      <c r="O15" s="2">
        <f ca="1">VLOOKUP(7,'Bingo Source'!$AP$1:$AQ$25,2,0)</f>
        <v>10</v>
      </c>
      <c r="P15" s="2">
        <f ca="1">VLOOKUP(8,'Bingo Source'!$AP$1:$AQ$25,2,0)</f>
        <v>18</v>
      </c>
      <c r="Q15" s="2">
        <f ca="1">VLOOKUP(9,'Bingo Source'!$AP$1:$AQ$25,2,0)</f>
        <v>14</v>
      </c>
      <c r="R15" s="2">
        <f ca="1">VLOOKUP(10,'Bingo Source'!$AP$1:$AQ$25,2,0)</f>
        <v>20</v>
      </c>
      <c r="S15" s="1"/>
      <c r="T15" s="2">
        <f ca="1">VLOOKUP(6,'Bingo Source'!$AT$1:$AU$25,2,0)</f>
        <v>18</v>
      </c>
      <c r="U15" s="2">
        <f ca="1">VLOOKUP(7,'Bingo Source'!$AT$1:$AU$25,2,0)</f>
        <v>25</v>
      </c>
      <c r="V15" s="2">
        <f ca="1">VLOOKUP(8,'Bingo Source'!$AT$1:$AU$25,2,0)</f>
        <v>10</v>
      </c>
      <c r="W15" s="2">
        <f ca="1">VLOOKUP(9,'Bingo Source'!$AT$1:$AU$25,2,0)</f>
        <v>24</v>
      </c>
      <c r="X15" s="2">
        <f ca="1">VLOOKUP(10,'Bingo Source'!$AT$1:$AU$25,2,0)</f>
        <v>15</v>
      </c>
      <c r="Y15" s="1"/>
    </row>
    <row r="16" spans="1:25" ht="25" customHeight="1" x14ac:dyDescent="0.35">
      <c r="A16" s="1"/>
      <c r="B16" s="2">
        <f ca="1">VLOOKUP(11,'Bingo Source'!$AH$1:$AI$25,2,0)</f>
        <v>10</v>
      </c>
      <c r="C16" s="2">
        <f ca="1">VLOOKUP(12,'Bingo Source'!$AH$1:$AI$25,2,0)</f>
        <v>21</v>
      </c>
      <c r="D16" s="2">
        <f ca="1">VLOOKUP(13,'Bingo Source'!$AH$1:$AI$25,2,0)</f>
        <v>6</v>
      </c>
      <c r="E16" s="2">
        <f ca="1">VLOOKUP(14,'Bingo Source'!$AH$1:$AI$25,2,0)</f>
        <v>22</v>
      </c>
      <c r="F16" s="2">
        <f ca="1">VLOOKUP(15,'Bingo Source'!$AH$1:$AI$25,2,0)</f>
        <v>2</v>
      </c>
      <c r="G16" s="3"/>
      <c r="H16" s="2">
        <f ca="1">VLOOKUP(11,'Bingo Source'!$AL$1:$AM$25,2,0)</f>
        <v>15</v>
      </c>
      <c r="I16" s="2">
        <f ca="1">VLOOKUP(12,'Bingo Source'!$AL$1:$AM$25,2,0)</f>
        <v>11</v>
      </c>
      <c r="J16" s="2">
        <f ca="1">VLOOKUP(13,'Bingo Source'!$AL$1:$AM$25,2,0)</f>
        <v>6</v>
      </c>
      <c r="K16" s="2">
        <f ca="1">VLOOKUP(14,'Bingo Source'!$AL$1:$AM$25,2,0)</f>
        <v>8</v>
      </c>
      <c r="L16" s="2">
        <f ca="1">VLOOKUP(15,'Bingo Source'!$AL$1:$AM$25,2,0)</f>
        <v>18</v>
      </c>
      <c r="M16" s="1"/>
      <c r="N16" s="2">
        <f ca="1">VLOOKUP(11,'Bingo Source'!$AP$1:$AQ$25,2,0)</f>
        <v>23</v>
      </c>
      <c r="O16" s="2">
        <f ca="1">VLOOKUP(12,'Bingo Source'!$AP$1:$AQ$25,2,0)</f>
        <v>11</v>
      </c>
      <c r="P16" s="2">
        <f ca="1">VLOOKUP(13,'Bingo Source'!$AP$1:$AQ$25,2,0)</f>
        <v>16</v>
      </c>
      <c r="Q16" s="2">
        <f ca="1">VLOOKUP(14,'Bingo Source'!$AP$1:$AQ$25,2,0)</f>
        <v>12</v>
      </c>
      <c r="R16" s="2">
        <f ca="1">VLOOKUP(15,'Bingo Source'!$AP$1:$AQ$25,2,0)</f>
        <v>1</v>
      </c>
      <c r="S16" s="1"/>
      <c r="T16" s="2">
        <f ca="1">VLOOKUP(11,'Bingo Source'!$AT$1:$AU$25,2,0)</f>
        <v>4</v>
      </c>
      <c r="U16" s="2">
        <f ca="1">VLOOKUP(12,'Bingo Source'!$AT$1:$AU$25,2,0)</f>
        <v>7</v>
      </c>
      <c r="V16" s="2">
        <f ca="1">VLOOKUP(13,'Bingo Source'!$AT$1:$AU$25,2,0)</f>
        <v>16</v>
      </c>
      <c r="W16" s="2">
        <f ca="1">VLOOKUP(14,'Bingo Source'!$AT$1:$AU$25,2,0)</f>
        <v>11</v>
      </c>
      <c r="X16" s="2">
        <f ca="1">VLOOKUP(15,'Bingo Source'!$AT$1:$AU$25,2,0)</f>
        <v>12</v>
      </c>
      <c r="Y16" s="1"/>
    </row>
    <row r="17" spans="1:25" ht="25" customHeight="1" x14ac:dyDescent="0.35">
      <c r="A17" s="1"/>
      <c r="B17" s="2">
        <f ca="1">VLOOKUP(16,'Bingo Source'!$AH$1:$AI$25,2,0)</f>
        <v>8</v>
      </c>
      <c r="C17" s="2">
        <f ca="1">VLOOKUP(17,'Bingo Source'!$AH$1:$AI$25,2,0)</f>
        <v>24</v>
      </c>
      <c r="D17" s="2">
        <f ca="1">VLOOKUP(18,'Bingo Source'!$AH$1:$AI$25,2,0)</f>
        <v>5</v>
      </c>
      <c r="E17" s="2">
        <f ca="1">VLOOKUP(19,'Bingo Source'!$AH$1:$AI$25,2,0)</f>
        <v>16</v>
      </c>
      <c r="F17" s="2">
        <f ca="1">VLOOKUP(20,'Bingo Source'!$AH$1:$AI$25,2,0)</f>
        <v>9</v>
      </c>
      <c r="G17" s="3"/>
      <c r="H17" s="2">
        <f ca="1">VLOOKUP(16,'Bingo Source'!$AL$1:$AM$25,2,0)</f>
        <v>7</v>
      </c>
      <c r="I17" s="2">
        <f ca="1">VLOOKUP(17,'Bingo Source'!$AL$1:$AM$25,2,0)</f>
        <v>16</v>
      </c>
      <c r="J17" s="2">
        <f ca="1">VLOOKUP(18,'Bingo Source'!$AL$1:$AM$25,2,0)</f>
        <v>10</v>
      </c>
      <c r="K17" s="2">
        <f ca="1">VLOOKUP(19,'Bingo Source'!$AL$1:$AM$25,2,0)</f>
        <v>25</v>
      </c>
      <c r="L17" s="2">
        <f ca="1">VLOOKUP(20,'Bingo Source'!$AL$1:$AM$25,2,0)</f>
        <v>24</v>
      </c>
      <c r="M17" s="1"/>
      <c r="N17" s="2">
        <f ca="1">VLOOKUP(16,'Bingo Source'!$AP$1:$AQ$25,2,0)</f>
        <v>19</v>
      </c>
      <c r="O17" s="2">
        <f ca="1">VLOOKUP(17,'Bingo Source'!$AP$1:$AQ$25,2,0)</f>
        <v>3</v>
      </c>
      <c r="P17" s="2">
        <f ca="1">VLOOKUP(18,'Bingo Source'!$AP$1:$AQ$25,2,0)</f>
        <v>15</v>
      </c>
      <c r="Q17" s="2">
        <f ca="1">VLOOKUP(19,'Bingo Source'!$AP$1:$AQ$25,2,0)</f>
        <v>24</v>
      </c>
      <c r="R17" s="2">
        <f ca="1">VLOOKUP(20,'Bingo Source'!$AP$1:$AQ$25,2,0)</f>
        <v>2</v>
      </c>
      <c r="S17" s="1"/>
      <c r="T17" s="2">
        <f ca="1">VLOOKUP(16,'Bingo Source'!$AT$1:$AU$25,2,0)</f>
        <v>2</v>
      </c>
      <c r="U17" s="2">
        <f ca="1">VLOOKUP(17,'Bingo Source'!$AT$1:$AU$25,2,0)</f>
        <v>19</v>
      </c>
      <c r="V17" s="2">
        <f ca="1">VLOOKUP(18,'Bingo Source'!$AT$1:$AU$25,2,0)</f>
        <v>3</v>
      </c>
      <c r="W17" s="2">
        <f ca="1">VLOOKUP(19,'Bingo Source'!$AT$1:$AU$25,2,0)</f>
        <v>9</v>
      </c>
      <c r="X17" s="2">
        <f ca="1">VLOOKUP(20,'Bingo Source'!$AT$1:$AU$25,2,0)</f>
        <v>14</v>
      </c>
      <c r="Y17" s="1"/>
    </row>
    <row r="18" spans="1:25" ht="25" customHeight="1" x14ac:dyDescent="0.35">
      <c r="A18" s="1"/>
      <c r="B18" s="2">
        <f ca="1">VLOOKUP(21,'Bingo Source'!$AH$1:$AI$25,2,0)</f>
        <v>23</v>
      </c>
      <c r="C18" s="2">
        <f ca="1">VLOOKUP(22,'Bingo Source'!$AH$1:$AI$25,2,0)</f>
        <v>1</v>
      </c>
      <c r="D18" s="2">
        <f ca="1">VLOOKUP(23,'Bingo Source'!$AH$1:$AI$25,2,0)</f>
        <v>11</v>
      </c>
      <c r="E18" s="2">
        <f ca="1">VLOOKUP(24,'Bingo Source'!$AH$1:$AI$25,2,0)</f>
        <v>13</v>
      </c>
      <c r="F18" s="2">
        <f ca="1">VLOOKUP(25,'Bingo Source'!$AH$1:$AI$25,2,0)</f>
        <v>20</v>
      </c>
      <c r="G18" s="3"/>
      <c r="H18" s="2">
        <f ca="1">VLOOKUP(21,'Bingo Source'!$AL$1:$AM$25,2,0)</f>
        <v>17</v>
      </c>
      <c r="I18" s="2">
        <f ca="1">VLOOKUP(22,'Bingo Source'!$AL$1:$AM$25,2,0)</f>
        <v>1</v>
      </c>
      <c r="J18" s="2">
        <f ca="1">VLOOKUP(23,'Bingo Source'!$AL$1:$AM$25,2,0)</f>
        <v>5</v>
      </c>
      <c r="K18" s="2">
        <f ca="1">VLOOKUP(24,'Bingo Source'!$AL$1:$AM$25,2,0)</f>
        <v>3</v>
      </c>
      <c r="L18" s="2">
        <f ca="1">VLOOKUP(25,'Bingo Source'!$AL$1:$AM$25,2,0)</f>
        <v>14</v>
      </c>
      <c r="M18" s="1"/>
      <c r="N18" s="2">
        <f ca="1">VLOOKUP(21,'Bingo Source'!$AP$1:$AQ$25,2,0)</f>
        <v>7</v>
      </c>
      <c r="O18" s="2">
        <f ca="1">VLOOKUP(22,'Bingo Source'!$AP$1:$AQ$25,2,0)</f>
        <v>4</v>
      </c>
      <c r="P18" s="2">
        <f ca="1">VLOOKUP(23,'Bingo Source'!$AP$1:$AQ$25,2,0)</f>
        <v>22</v>
      </c>
      <c r="Q18" s="2">
        <f ca="1">VLOOKUP(24,'Bingo Source'!$AP$1:$AQ$25,2,0)</f>
        <v>5</v>
      </c>
      <c r="R18" s="2">
        <f ca="1">VLOOKUP(25,'Bingo Source'!$AP$1:$AQ$25,2,0)</f>
        <v>25</v>
      </c>
      <c r="S18" s="1"/>
      <c r="T18" s="2">
        <f ca="1">VLOOKUP(21,'Bingo Source'!$AT$1:$AU$25,2,0)</f>
        <v>6</v>
      </c>
      <c r="U18" s="2">
        <f ca="1">VLOOKUP(22,'Bingo Source'!$AT$1:$AU$25,2,0)</f>
        <v>20</v>
      </c>
      <c r="V18" s="2">
        <f ca="1">VLOOKUP(23,'Bingo Source'!$AT$1:$AU$25,2,0)</f>
        <v>21</v>
      </c>
      <c r="W18" s="2">
        <f ca="1">VLOOKUP(24,'Bingo Source'!$AT$1:$AU$25,2,0)</f>
        <v>5</v>
      </c>
      <c r="X18" s="2">
        <f ca="1">VLOOKUP(25,'Bingo Source'!$AT$1:$AU$25,2,0)</f>
        <v>17</v>
      </c>
      <c r="Y18" s="1"/>
    </row>
    <row r="19" spans="1:25" ht="10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Bingo Source</vt:lpstr>
      <vt:lpstr>Bingo (Orig.)</vt:lpstr>
      <vt:lpstr>'Bingo (Orig.)'!Print_Area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Kweis</dc:creator>
  <cp:lastModifiedBy>Kweis</cp:lastModifiedBy>
  <cp:lastPrinted>2018-02-28T12:15:41Z</cp:lastPrinted>
  <dcterms:created xsi:type="dcterms:W3CDTF">2018-02-22T14:41:16Z</dcterms:created>
  <dcterms:modified xsi:type="dcterms:W3CDTF">2019-03-20T12:51:12Z</dcterms:modified>
</cp:coreProperties>
</file>